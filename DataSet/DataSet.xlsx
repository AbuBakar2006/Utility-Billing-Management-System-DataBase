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bub\Code\VS Code\Utility Billing Management System\DataSet\"/>
    </mc:Choice>
  </mc:AlternateContent>
  <xr:revisionPtr revIDLastSave="0" documentId="13_ncr:1_{7B2DB9DA-2AB3-4420-8A42-7A33C631061E}" xr6:coauthVersionLast="47" xr6:coauthVersionMax="47" xr10:uidLastSave="{00000000-0000-0000-0000-000000000000}"/>
  <bookViews>
    <workbookView xWindow="-120" yWindow="-120" windowWidth="20730" windowHeight="11760" tabRatio="683" xr2:uid="{00000000-000D-0000-FFFF-FFFF00000000}"/>
  </bookViews>
  <sheets>
    <sheet name="Utility System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1" i="15" l="1"/>
  <c r="AD6" i="15"/>
  <c r="AD7" i="15"/>
  <c r="AD8" i="15"/>
  <c r="AD9" i="15"/>
  <c r="AD10" i="15"/>
  <c r="AD11" i="15"/>
  <c r="AD12" i="15"/>
  <c r="AD13" i="15"/>
  <c r="AD14" i="15"/>
  <c r="AD15" i="15"/>
  <c r="AD16" i="15"/>
  <c r="AD17" i="15"/>
  <c r="AD18" i="15"/>
  <c r="AD19" i="15"/>
  <c r="AD20" i="15"/>
  <c r="AD21" i="15"/>
  <c r="AD22" i="15"/>
  <c r="AD23" i="15"/>
  <c r="AD24" i="15"/>
  <c r="AD25" i="15"/>
  <c r="AD26" i="15"/>
  <c r="AD27" i="15"/>
  <c r="AD28" i="15"/>
  <c r="AD29" i="15"/>
  <c r="AD30" i="15"/>
  <c r="AD31" i="15"/>
  <c r="AD32" i="15"/>
  <c r="AD33" i="15"/>
  <c r="AD34" i="15"/>
  <c r="AD35" i="15"/>
  <c r="AD36" i="15"/>
  <c r="AD37" i="15"/>
  <c r="AD38" i="15"/>
  <c r="AD39" i="15"/>
  <c r="AD40" i="15"/>
  <c r="AD41" i="15"/>
  <c r="AD42" i="15"/>
  <c r="AD43" i="15"/>
  <c r="AD44" i="15"/>
  <c r="AD45" i="15"/>
  <c r="AD46" i="15"/>
  <c r="AD47" i="15"/>
  <c r="AD48" i="15"/>
  <c r="AD49" i="15"/>
  <c r="AD5" i="15"/>
  <c r="AC9" i="15"/>
  <c r="AE9" i="15" s="1"/>
  <c r="AC13" i="15"/>
  <c r="AE13" i="15" s="1"/>
  <c r="AF13" i="15" s="1"/>
  <c r="AC17" i="15"/>
  <c r="AC21" i="15"/>
  <c r="AL21" i="15" s="1"/>
  <c r="AC25" i="15"/>
  <c r="AE25" i="15" s="1"/>
  <c r="AC29" i="15"/>
  <c r="AE29" i="15" s="1"/>
  <c r="AC33" i="15"/>
  <c r="AE33" i="15" s="1"/>
  <c r="AC37" i="15"/>
  <c r="AC41" i="15"/>
  <c r="AE41" i="15" s="1"/>
  <c r="AC45" i="15"/>
  <c r="AE45" i="15" s="1"/>
  <c r="AF45" i="15" s="1"/>
  <c r="AC49" i="15"/>
  <c r="AC5" i="15"/>
  <c r="AE5" i="15" s="1"/>
  <c r="AB5" i="15"/>
  <c r="AB18" i="15"/>
  <c r="AC18" i="15" s="1"/>
  <c r="AB19" i="15"/>
  <c r="AC19" i="15" s="1"/>
  <c r="AB20" i="15"/>
  <c r="AC20" i="15" s="1"/>
  <c r="AE20" i="15" s="1"/>
  <c r="AF20" i="15" s="1"/>
  <c r="AB21" i="15"/>
  <c r="AB22" i="15"/>
  <c r="AC22" i="15" s="1"/>
  <c r="AB23" i="15"/>
  <c r="AC23" i="15" s="1"/>
  <c r="AB24" i="15"/>
  <c r="AC24" i="15" s="1"/>
  <c r="AB25" i="15"/>
  <c r="AB26" i="15"/>
  <c r="AC26" i="15" s="1"/>
  <c r="AB27" i="15"/>
  <c r="AC27" i="15" s="1"/>
  <c r="AB28" i="15"/>
  <c r="AC28" i="15" s="1"/>
  <c r="AE28" i="15" s="1"/>
  <c r="AF28" i="15" s="1"/>
  <c r="AB29" i="15"/>
  <c r="AB30" i="15"/>
  <c r="AC30" i="15" s="1"/>
  <c r="AB31" i="15"/>
  <c r="AC31" i="15" s="1"/>
  <c r="AB32" i="15"/>
  <c r="AC32" i="15" s="1"/>
  <c r="AE32" i="15" s="1"/>
  <c r="AB33" i="15"/>
  <c r="AB34" i="15"/>
  <c r="AC34" i="15" s="1"/>
  <c r="AB35" i="15"/>
  <c r="AC35" i="15" s="1"/>
  <c r="AB36" i="15"/>
  <c r="AC36" i="15" s="1"/>
  <c r="AB37" i="15"/>
  <c r="AB38" i="15"/>
  <c r="AC38" i="15" s="1"/>
  <c r="AB39" i="15"/>
  <c r="AC39" i="15" s="1"/>
  <c r="AB40" i="15"/>
  <c r="AC40" i="15" s="1"/>
  <c r="AE40" i="15" s="1"/>
  <c r="AF40" i="15" s="1"/>
  <c r="AB41" i="15"/>
  <c r="AB42" i="15"/>
  <c r="AC42" i="15" s="1"/>
  <c r="AB43" i="15"/>
  <c r="AC43" i="15" s="1"/>
  <c r="AB44" i="15"/>
  <c r="AC44" i="15" s="1"/>
  <c r="AE44" i="15" s="1"/>
  <c r="AF44" i="15" s="1"/>
  <c r="AB45" i="15"/>
  <c r="AB46" i="15"/>
  <c r="AC46" i="15" s="1"/>
  <c r="AB47" i="15"/>
  <c r="AC47" i="15" s="1"/>
  <c r="AB48" i="15"/>
  <c r="AC48" i="15" s="1"/>
  <c r="AB49" i="15"/>
  <c r="AB6" i="15"/>
  <c r="AC6" i="15" s="1"/>
  <c r="AB7" i="15"/>
  <c r="AC7" i="15" s="1"/>
  <c r="AB8" i="15"/>
  <c r="AC8" i="15" s="1"/>
  <c r="AE8" i="15" s="1"/>
  <c r="AF8" i="15" s="1"/>
  <c r="AB9" i="15"/>
  <c r="AB10" i="15"/>
  <c r="AC10" i="15" s="1"/>
  <c r="AB11" i="15"/>
  <c r="AC11" i="15" s="1"/>
  <c r="AB12" i="15"/>
  <c r="AC12" i="15" s="1"/>
  <c r="AE12" i="15" s="1"/>
  <c r="AF12" i="15" s="1"/>
  <c r="AB13" i="15"/>
  <c r="AB14" i="15"/>
  <c r="AC14" i="15" s="1"/>
  <c r="AB15" i="15"/>
  <c r="AC15" i="15" s="1"/>
  <c r="AB16" i="15"/>
  <c r="AC16" i="15" s="1"/>
  <c r="AB17" i="15"/>
  <c r="AL33" i="15" l="1"/>
  <c r="AF33" i="15"/>
  <c r="AE49" i="15"/>
  <c r="AF49" i="15" s="1"/>
  <c r="AE37" i="15"/>
  <c r="AL37" i="15" s="1"/>
  <c r="AE17" i="15"/>
  <c r="AF17" i="15" s="1"/>
  <c r="AL17" i="15"/>
  <c r="AL8" i="15"/>
  <c r="AL44" i="15"/>
  <c r="AL40" i="15"/>
  <c r="AL32" i="15"/>
  <c r="AL28" i="15"/>
  <c r="AL24" i="15"/>
  <c r="AL20" i="15"/>
  <c r="AF5" i="15"/>
  <c r="AF21" i="15"/>
  <c r="AF37" i="15"/>
  <c r="AE48" i="15"/>
  <c r="AF48" i="15" s="1"/>
  <c r="AE36" i="15"/>
  <c r="AF36" i="15" s="1"/>
  <c r="AE24" i="15"/>
  <c r="AF24" i="15" s="1"/>
  <c r="AE16" i="15"/>
  <c r="AF16" i="15" s="1"/>
  <c r="AL5" i="15"/>
  <c r="AF32" i="15"/>
  <c r="AE47" i="15"/>
  <c r="AL47" i="15" s="1"/>
  <c r="AE43" i="15"/>
  <c r="AF43" i="15" s="1"/>
  <c r="AE39" i="15"/>
  <c r="AF39" i="15" s="1"/>
  <c r="AE35" i="15"/>
  <c r="AF35" i="15" s="1"/>
  <c r="AE31" i="15"/>
  <c r="AF31" i="15" s="1"/>
  <c r="AE27" i="15"/>
  <c r="AF27" i="15" s="1"/>
  <c r="AE23" i="15"/>
  <c r="AF23" i="15" s="1"/>
  <c r="AE19" i="15"/>
  <c r="AF19" i="15" s="1"/>
  <c r="AE15" i="15"/>
  <c r="AL15" i="15" s="1"/>
  <c r="AE11" i="15"/>
  <c r="AF11" i="15" s="1"/>
  <c r="AE7" i="15"/>
  <c r="AF7" i="15" s="1"/>
  <c r="AL12" i="15"/>
  <c r="AF25" i="15"/>
  <c r="AL45" i="15"/>
  <c r="AL41" i="15"/>
  <c r="AL29" i="15"/>
  <c r="AL25" i="15"/>
  <c r="AL13" i="15"/>
  <c r="AL9" i="15"/>
  <c r="AF41" i="15"/>
  <c r="AF34" i="15"/>
  <c r="AF29" i="15"/>
  <c r="AF9" i="15"/>
  <c r="AE46" i="15"/>
  <c r="AF46" i="15" s="1"/>
  <c r="AE42" i="15"/>
  <c r="AL42" i="15" s="1"/>
  <c r="AE38" i="15"/>
  <c r="AF38" i="15" s="1"/>
  <c r="AE34" i="15"/>
  <c r="AL34" i="15" s="1"/>
  <c r="AE30" i="15"/>
  <c r="AF30" i="15" s="1"/>
  <c r="AE26" i="15"/>
  <c r="AL26" i="15" s="1"/>
  <c r="AE22" i="15"/>
  <c r="AF22" i="15" s="1"/>
  <c r="AE18" i="15"/>
  <c r="AF18" i="15" s="1"/>
  <c r="AE14" i="15"/>
  <c r="AL14" i="15" s="1"/>
  <c r="AE10" i="15"/>
  <c r="AF10" i="15" s="1"/>
  <c r="AE6" i="15"/>
  <c r="AL6" i="15" s="1"/>
  <c r="AF26" i="15"/>
  <c r="AF14" i="15" l="1"/>
  <c r="AL49" i="15"/>
  <c r="AF15" i="15"/>
  <c r="AF47" i="15"/>
  <c r="AL48" i="15"/>
  <c r="AL43" i="15"/>
  <c r="AL36" i="15"/>
  <c r="AL16" i="15"/>
  <c r="AL10" i="15"/>
  <c r="AL22" i="15"/>
  <c r="AL35" i="15"/>
  <c r="AF42" i="15"/>
  <c r="AL19" i="15"/>
  <c r="AL11" i="15"/>
  <c r="AL30" i="15"/>
  <c r="AL46" i="15"/>
  <c r="AL23" i="15"/>
  <c r="AL7" i="15"/>
  <c r="AL38" i="15"/>
  <c r="AL39" i="15"/>
  <c r="AF6" i="15"/>
  <c r="AL31" i="15"/>
  <c r="AL18" i="15"/>
  <c r="AL27" i="15"/>
</calcChain>
</file>

<file path=xl/sharedStrings.xml><?xml version="1.0" encoding="utf-8"?>
<sst xmlns="http://schemas.openxmlformats.org/spreadsheetml/2006/main" count="723" uniqueCount="340">
  <si>
    <t>CustomerID</t>
  </si>
  <si>
    <t>FirstName</t>
  </si>
  <si>
    <t>LastName</t>
  </si>
  <si>
    <t>PhoneNumber</t>
  </si>
  <si>
    <t>Email</t>
  </si>
  <si>
    <t>City</t>
  </si>
  <si>
    <t>ZipCode</t>
  </si>
  <si>
    <t>AccountStatus</t>
  </si>
  <si>
    <t>Ali</t>
  </si>
  <si>
    <t>Khan</t>
  </si>
  <si>
    <t>123 Main St</t>
  </si>
  <si>
    <t>Karachi</t>
  </si>
  <si>
    <t>Active</t>
  </si>
  <si>
    <t>Sara</t>
  </si>
  <si>
    <t>Ahmed</t>
  </si>
  <si>
    <t>45 Park Ave</t>
  </si>
  <si>
    <t>Lahore</t>
  </si>
  <si>
    <t>Islamabad</t>
  </si>
  <si>
    <t>Hina</t>
  </si>
  <si>
    <t>Shah</t>
  </si>
  <si>
    <t>Ayesha</t>
  </si>
  <si>
    <t>Omar</t>
  </si>
  <si>
    <t>Maryam</t>
  </si>
  <si>
    <t>Bilal</t>
  </si>
  <si>
    <t>11 Palm Rd</t>
  </si>
  <si>
    <t>Noor</t>
  </si>
  <si>
    <t>Aziz</t>
  </si>
  <si>
    <t>Hassan</t>
  </si>
  <si>
    <t>Imran</t>
  </si>
  <si>
    <t>99 Palm Rd</t>
  </si>
  <si>
    <t>Fatima</t>
  </si>
  <si>
    <t>Tariq</t>
  </si>
  <si>
    <t>Shahid</t>
  </si>
  <si>
    <t>Rida</t>
  </si>
  <si>
    <t>Sami</t>
  </si>
  <si>
    <t>12 Palm Rd</t>
  </si>
  <si>
    <t>Zoya</t>
  </si>
  <si>
    <t>14 Palm Rd</t>
  </si>
  <si>
    <t>AccountID</t>
  </si>
  <si>
    <t>UtilityType</t>
  </si>
  <si>
    <t>ServiceStartDate</t>
  </si>
  <si>
    <t>ACC-0001</t>
  </si>
  <si>
    <t>Electricity</t>
  </si>
  <si>
    <t>ACC-0002</t>
  </si>
  <si>
    <t>ACC-0003</t>
  </si>
  <si>
    <t>Water</t>
  </si>
  <si>
    <t>ACC-0004</t>
  </si>
  <si>
    <t>ACC-0005</t>
  </si>
  <si>
    <t>ACC-0006</t>
  </si>
  <si>
    <t>ACC-0007</t>
  </si>
  <si>
    <t>ACC-0008</t>
  </si>
  <si>
    <t>ACC-0009</t>
  </si>
  <si>
    <t>ACC-0010</t>
  </si>
  <si>
    <t>ACC-0011</t>
  </si>
  <si>
    <t>ACC-0012</t>
  </si>
  <si>
    <t>ACC-0013</t>
  </si>
  <si>
    <t>ACC-0014</t>
  </si>
  <si>
    <t>ACC-0015</t>
  </si>
  <si>
    <t>ACC-0016</t>
  </si>
  <si>
    <t>ACC-0017</t>
  </si>
  <si>
    <t>ACC-0018</t>
  </si>
  <si>
    <t>ACC-0019</t>
  </si>
  <si>
    <t>ACC-0020</t>
  </si>
  <si>
    <t>ACC-0021</t>
  </si>
  <si>
    <t>ACC-0022</t>
  </si>
  <si>
    <t>ACC-0023</t>
  </si>
  <si>
    <t>ACC-0024</t>
  </si>
  <si>
    <t>ACC-0025</t>
  </si>
  <si>
    <t>ACC-0026</t>
  </si>
  <si>
    <t>ACC-0027</t>
  </si>
  <si>
    <t>ACC-0028</t>
  </si>
  <si>
    <t>ACC-0029</t>
  </si>
  <si>
    <t>ACC-0030</t>
  </si>
  <si>
    <t>MeterNumber</t>
  </si>
  <si>
    <t>MeterType</t>
  </si>
  <si>
    <t>InstallationDate</t>
  </si>
  <si>
    <t>ReadingDate</t>
  </si>
  <si>
    <t>PreviousReading</t>
  </si>
  <si>
    <t>CurrentReading</t>
  </si>
  <si>
    <t>UnitsConsumed</t>
  </si>
  <si>
    <t>BillID</t>
  </si>
  <si>
    <t>DueDate</t>
  </si>
  <si>
    <t>EnergyCharges</t>
  </si>
  <si>
    <t>Paid</t>
  </si>
  <si>
    <t>Unpaid</t>
  </si>
  <si>
    <t>PaymentID</t>
  </si>
  <si>
    <t>PaymentDate</t>
  </si>
  <si>
    <t>PaymentAmount</t>
  </si>
  <si>
    <t>PaymentMethod</t>
  </si>
  <si>
    <t>Credit Card</t>
  </si>
  <si>
    <t>Bank Transfer</t>
  </si>
  <si>
    <t>Cash</t>
  </si>
  <si>
    <t>FixedCharge</t>
  </si>
  <si>
    <t>TaxPercentage</t>
  </si>
  <si>
    <t>ServiceFee</t>
  </si>
  <si>
    <t>Gas</t>
  </si>
  <si>
    <t>CUST-0001</t>
  </si>
  <si>
    <t>ali.khan1@example.com</t>
  </si>
  <si>
    <t>CUST-0002</t>
  </si>
  <si>
    <t>sara.ahmed2@example.com</t>
  </si>
  <si>
    <t>CUST-0003</t>
  </si>
  <si>
    <t>hassan.ali3@example.com</t>
  </si>
  <si>
    <t>CUST-0004</t>
  </si>
  <si>
    <t>ayesha.khan4@example.com</t>
  </si>
  <si>
    <t>78 Lake St</t>
  </si>
  <si>
    <t>CUST-0005</t>
  </si>
  <si>
    <t>bilal.ahmed5@example.com</t>
  </si>
  <si>
    <t>56 Hill Rd</t>
  </si>
  <si>
    <t>CUST-0006</t>
  </si>
  <si>
    <t>Zainab</t>
  </si>
  <si>
    <t>zainab.shah6@example.com</t>
  </si>
  <si>
    <t>23 River St</t>
  </si>
  <si>
    <t>CUST-0007</t>
  </si>
  <si>
    <t>omar.khan7@example.com</t>
  </si>
  <si>
    <t>89 Park Ave</t>
  </si>
  <si>
    <t>CUST-0008</t>
  </si>
  <si>
    <t>fatima.ali8@example.com</t>
  </si>
  <si>
    <t>34 Main St</t>
  </si>
  <si>
    <t>CUST-0009</t>
  </si>
  <si>
    <t>imran.shah9@example.com</t>
  </si>
  <si>
    <t>67 Lake St</t>
  </si>
  <si>
    <t>CUST-0010</t>
  </si>
  <si>
    <t>noor.ahmed10@example.com</t>
  </si>
  <si>
    <t>CUST-0011</t>
  </si>
  <si>
    <t>sami.khan11@example.com</t>
  </si>
  <si>
    <t>22 Hill Rd</t>
  </si>
  <si>
    <t>CUST-0012</t>
  </si>
  <si>
    <t>hina.ali12@example.com</t>
  </si>
  <si>
    <t>45 River St</t>
  </si>
  <si>
    <t>CUST-0013</t>
  </si>
  <si>
    <t>Ayan</t>
  </si>
  <si>
    <t>ayan.shah13@example.com</t>
  </si>
  <si>
    <t>56 Main St</t>
  </si>
  <si>
    <t>CUST-0014</t>
  </si>
  <si>
    <t>maryam.khan14@example.com</t>
  </si>
  <si>
    <t>78 Park Ave</t>
  </si>
  <si>
    <t>CUST-0015</t>
  </si>
  <si>
    <t>Danish</t>
  </si>
  <si>
    <t>danish.ahmed15@example.com</t>
  </si>
  <si>
    <t>89 Lake St</t>
  </si>
  <si>
    <t>CUST-0016</t>
  </si>
  <si>
    <t>Eman</t>
  </si>
  <si>
    <t>eman.shah16@example.com</t>
  </si>
  <si>
    <t>CUST-0017</t>
  </si>
  <si>
    <t>Raheel</t>
  </si>
  <si>
    <t>raheel.ali17@example.com</t>
  </si>
  <si>
    <t>34 Hill Rd</t>
  </si>
  <si>
    <t>CUST-0018</t>
  </si>
  <si>
    <t>Saba</t>
  </si>
  <si>
    <t>saba.khan18@example.com</t>
  </si>
  <si>
    <t>56 River St</t>
  </si>
  <si>
    <t>CUST-0019</t>
  </si>
  <si>
    <t>tariq.ahmed19@example.com</t>
  </si>
  <si>
    <t>78 Main St</t>
  </si>
  <si>
    <t>CUST-0020</t>
  </si>
  <si>
    <t>Areeba</t>
  </si>
  <si>
    <t>areeba.shah20@example.com</t>
  </si>
  <si>
    <t>11 Park Ave</t>
  </si>
  <si>
    <t>CUST-0021</t>
  </si>
  <si>
    <t>Shahbaz</t>
  </si>
  <si>
    <t>shahbaz.khan21@example.com</t>
  </si>
  <si>
    <t>22 Lake St</t>
  </si>
  <si>
    <t>CUST-0022</t>
  </si>
  <si>
    <t>Hadia</t>
  </si>
  <si>
    <t>hadia.ali22@example.com</t>
  </si>
  <si>
    <t>33 Palm Rd</t>
  </si>
  <si>
    <t>CUST-0023</t>
  </si>
  <si>
    <t>Asim</t>
  </si>
  <si>
    <t>asim.shah23@example.com</t>
  </si>
  <si>
    <t>44 Hill Rd</t>
  </si>
  <si>
    <t>CUST-0024</t>
  </si>
  <si>
    <t>Lina</t>
  </si>
  <si>
    <t>lina.ahmed24@example.com</t>
  </si>
  <si>
    <t>55 River St</t>
  </si>
  <si>
    <t>CUST-0025</t>
  </si>
  <si>
    <t>Fawad</t>
  </si>
  <si>
    <t>fawad.khan25@example.com</t>
  </si>
  <si>
    <t>66 Main St</t>
  </si>
  <si>
    <t>CUST-0026</t>
  </si>
  <si>
    <t>Nida</t>
  </si>
  <si>
    <t>nida.shah26@example.com</t>
  </si>
  <si>
    <t>77 Park Ave</t>
  </si>
  <si>
    <t>CUST-0027</t>
  </si>
  <si>
    <t>Junaid</t>
  </si>
  <si>
    <t>junaid.ali27@example.com</t>
  </si>
  <si>
    <t>88 Lake St</t>
  </si>
  <si>
    <t>CUST-0028</t>
  </si>
  <si>
    <t>rida.khan28@example.com</t>
  </si>
  <si>
    <t>CUST-0029</t>
  </si>
  <si>
    <t>shahid.ahmed29@example.com</t>
  </si>
  <si>
    <t>21 Hill Rd</t>
  </si>
  <si>
    <t>CUST-0030</t>
  </si>
  <si>
    <t>zoya.aziz30@example.com</t>
  </si>
  <si>
    <t>MTR-1001</t>
  </si>
  <si>
    <t>MTR-1002</t>
  </si>
  <si>
    <t>MTR-2001</t>
  </si>
  <si>
    <t>MTR-2002</t>
  </si>
  <si>
    <t>MTR-3001</t>
  </si>
  <si>
    <t>MTR-3002</t>
  </si>
  <si>
    <t>MTR-4001</t>
  </si>
  <si>
    <t>MTR-5001</t>
  </si>
  <si>
    <t>MTR-6001</t>
  </si>
  <si>
    <t>MTR-7001</t>
  </si>
  <si>
    <t>MTR-7002</t>
  </si>
  <si>
    <t>MTR-7003</t>
  </si>
  <si>
    <t>MTR-8001</t>
  </si>
  <si>
    <t>MTR-9001</t>
  </si>
  <si>
    <t>MTR-9002</t>
  </si>
  <si>
    <t>MTR-10001</t>
  </si>
  <si>
    <t>MTR-11001</t>
  </si>
  <si>
    <t>MTR-12001</t>
  </si>
  <si>
    <t>MTR-13001</t>
  </si>
  <si>
    <t>MTR-13002</t>
  </si>
  <si>
    <t>MTR-14001</t>
  </si>
  <si>
    <t>MTR-15001</t>
  </si>
  <si>
    <t>MTR-16001</t>
  </si>
  <si>
    <t>MTR-16002</t>
  </si>
  <si>
    <t>MTR-17001</t>
  </si>
  <si>
    <t>MTR-17002</t>
  </si>
  <si>
    <t>MTR-18001</t>
  </si>
  <si>
    <t>MTR-19001</t>
  </si>
  <si>
    <t>MTR-19002</t>
  </si>
  <si>
    <t>MTR-20001</t>
  </si>
  <si>
    <t>MTR-21001</t>
  </si>
  <si>
    <t>MTR-21002</t>
  </si>
  <si>
    <t>MTR-22001</t>
  </si>
  <si>
    <t>MTR-22002</t>
  </si>
  <si>
    <t>MTR-22003</t>
  </si>
  <si>
    <t>MTR-23001</t>
  </si>
  <si>
    <t>MTR-24001</t>
  </si>
  <si>
    <t>MTR-25001</t>
  </si>
  <si>
    <t>MTR-26001</t>
  </si>
  <si>
    <t>MTR-26002</t>
  </si>
  <si>
    <t>MTR-27001</t>
  </si>
  <si>
    <t>MTR-28001</t>
  </si>
  <si>
    <t>MTR-28002</t>
  </si>
  <si>
    <t>MTR-29001</t>
  </si>
  <si>
    <t>MTR-30001</t>
  </si>
  <si>
    <t>IssueDate</t>
  </si>
  <si>
    <t>BILL-0001</t>
  </si>
  <si>
    <t>BILL-0002</t>
  </si>
  <si>
    <t>BILL-0003</t>
  </si>
  <si>
    <t>BILL-0004</t>
  </si>
  <si>
    <t>BILL-0005</t>
  </si>
  <si>
    <t>BILL-0006</t>
  </si>
  <si>
    <t>BILL-0007</t>
  </si>
  <si>
    <t>BILL-0008</t>
  </si>
  <si>
    <t>BILL-0009</t>
  </si>
  <si>
    <t>BILL-0010</t>
  </si>
  <si>
    <t>BILL-0011</t>
  </si>
  <si>
    <t>BILL-0012</t>
  </si>
  <si>
    <t>BILL-0013</t>
  </si>
  <si>
    <t>BILL-0014</t>
  </si>
  <si>
    <t>BILL-0015</t>
  </si>
  <si>
    <t>BILL-0016</t>
  </si>
  <si>
    <t>BILL-0017</t>
  </si>
  <si>
    <t>BILL-0018</t>
  </si>
  <si>
    <t>BILL-0019</t>
  </si>
  <si>
    <t>BILL-0020</t>
  </si>
  <si>
    <t>BILL-0021</t>
  </si>
  <si>
    <t>BILL-0022</t>
  </si>
  <si>
    <t>BILL-0023</t>
  </si>
  <si>
    <t>BILL-0024</t>
  </si>
  <si>
    <t>BILL-0025</t>
  </si>
  <si>
    <t>BILL-0026</t>
  </si>
  <si>
    <t>BILL-0027</t>
  </si>
  <si>
    <t>BILL-0028</t>
  </si>
  <si>
    <t>BILL-0029</t>
  </si>
  <si>
    <t>BILL-0030</t>
  </si>
  <si>
    <t>BILL-0031</t>
  </si>
  <si>
    <t>BILL-0032</t>
  </si>
  <si>
    <t>BILL-0033</t>
  </si>
  <si>
    <t>BILL-0034</t>
  </si>
  <si>
    <t>BILL-0035</t>
  </si>
  <si>
    <t>BILL-0036</t>
  </si>
  <si>
    <t>BILL-0037</t>
  </si>
  <si>
    <t>BILL-0038</t>
  </si>
  <si>
    <t>BILL-0039</t>
  </si>
  <si>
    <t>BILL-0040</t>
  </si>
  <si>
    <t>BILL-0041</t>
  </si>
  <si>
    <t>BILL-0042</t>
  </si>
  <si>
    <t>BILL-0043</t>
  </si>
  <si>
    <t>BILL-0044</t>
  </si>
  <si>
    <t>BILL-0045</t>
  </si>
  <si>
    <t>PAY-0001</t>
  </si>
  <si>
    <t>PAY-0002</t>
  </si>
  <si>
    <t>PAY-0003</t>
  </si>
  <si>
    <t>PAY-0004</t>
  </si>
  <si>
    <t>PAY-0005</t>
  </si>
  <si>
    <t>PAY-0006</t>
  </si>
  <si>
    <t>PAY-0007</t>
  </si>
  <si>
    <t>PAY-0008</t>
  </si>
  <si>
    <t>PAY-0009</t>
  </si>
  <si>
    <t>PAY-0010</t>
  </si>
  <si>
    <t>PAY-0011</t>
  </si>
  <si>
    <t>PAY-0012</t>
  </si>
  <si>
    <t>PAY-0013</t>
  </si>
  <si>
    <t>PAY-0014</t>
  </si>
  <si>
    <t>PAY-0015</t>
  </si>
  <si>
    <t>PAY-0016</t>
  </si>
  <si>
    <t>PAY-0017</t>
  </si>
  <si>
    <t>PAY-0018</t>
  </si>
  <si>
    <t>PAY-0019</t>
  </si>
  <si>
    <t>PAY-0020</t>
  </si>
  <si>
    <t>PAY-0021</t>
  </si>
  <si>
    <t>PAY-0022</t>
  </si>
  <si>
    <t>PAY-0023</t>
  </si>
  <si>
    <t>PAY-0024</t>
  </si>
  <si>
    <t>PAY-0025</t>
  </si>
  <si>
    <t>PAY-0026</t>
  </si>
  <si>
    <t>PAY-0027</t>
  </si>
  <si>
    <t>PAY-0028</t>
  </si>
  <si>
    <t>PAY-0029</t>
  </si>
  <si>
    <t>PAY-0030</t>
  </si>
  <si>
    <t>PAY-0031</t>
  </si>
  <si>
    <t>PAY-0032</t>
  </si>
  <si>
    <t>PAY-0033</t>
  </si>
  <si>
    <t>PAY-0034</t>
  </si>
  <si>
    <t>PAY-0035</t>
  </si>
  <si>
    <t>PAY-0036</t>
  </si>
  <si>
    <t>PAY-0037</t>
  </si>
  <si>
    <t>PAY-0038</t>
  </si>
  <si>
    <t>PAY-0039</t>
  </si>
  <si>
    <t>PAY-0040</t>
  </si>
  <si>
    <t>PAY-0041</t>
  </si>
  <si>
    <t>PAY-0042</t>
  </si>
  <si>
    <t>PAY-0043</t>
  </si>
  <si>
    <t>PAY-0044</t>
  </si>
  <si>
    <t>PAY-0045</t>
  </si>
  <si>
    <t>CUSTOMER</t>
  </si>
  <si>
    <t>ACCOUNT</t>
  </si>
  <si>
    <t>METER</t>
  </si>
  <si>
    <t>BILL</t>
  </si>
  <si>
    <t>PAYMENT DETAILS</t>
  </si>
  <si>
    <t>CHARGES</t>
  </si>
  <si>
    <t>Address</t>
  </si>
  <si>
    <t>TotalBill</t>
  </si>
  <si>
    <t>AdditionalCharges</t>
  </si>
  <si>
    <t>TaxAmount</t>
  </si>
  <si>
    <t>PaymentStatus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</si>
</sst>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Rockwell"/>
      <scheme val="minor"/>
    </font>
    <font>
      <sz val="10"/>
      <color rgb="FF1F1F1F"/>
      <name val="Rockwell"/>
      <family val="2"/>
      <scheme val="minor"/>
    </font>
    <font>
      <sz val="10"/>
      <color rgb="FF000000"/>
      <name val="Rockwell"/>
      <family val="2"/>
      <scheme val="minor"/>
    </font>
    <font>
      <b/>
      <sz val="10"/>
      <color theme="0"/>
      <name val="Rockwell"/>
      <family val="2"/>
      <scheme val="minor"/>
    </font>
    <font>
      <sz val="10"/>
      <color theme="0"/>
      <name val="Rockwell"/>
      <family val="2"/>
      <scheme val="minor"/>
    </font>
    <font>
      <sz val="10"/>
      <color theme="1"/>
      <name val="Rockwell"/>
      <family val="2"/>
      <scheme val="minor"/>
    </font>
    <font>
      <b/>
      <sz val="10"/>
      <color theme="1"/>
      <name val="Bahnschrift Condensed"/>
      <family val="2"/>
    </font>
    <font>
      <b/>
      <sz val="28"/>
      <color theme="1"/>
      <name val="Bahnschrift Condensed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Font="0" applyFill="0" applyProtection="0">
      <alignment horizontal="center" vertical="center" readingOrder="1"/>
    </xf>
    <xf numFmtId="14" fontId="1" fillId="3" borderId="0" applyNumberFormat="0" applyFill="0">
      <alignment horizontal="center" vertical="center" wrapText="1" readingOrder="1"/>
    </xf>
  </cellStyleXfs>
  <cellXfs count="18">
    <xf numFmtId="0" fontId="0" fillId="0" borderId="0" xfId="0"/>
    <xf numFmtId="0" fontId="5" fillId="0" borderId="0" xfId="1" applyFont="1" applyFill="1" applyAlignment="1">
      <alignment horizontal="left" vertical="center" readingOrder="1"/>
    </xf>
    <xf numFmtId="0" fontId="5" fillId="0" borderId="0" xfId="1" applyFont="1" applyFill="1">
      <alignment horizontal="center" vertical="center" readingOrder="1"/>
    </xf>
    <xf numFmtId="0" fontId="1" fillId="0" borderId="0" xfId="1" applyFont="1" applyFill="1" applyAlignment="1">
      <alignment horizontal="left" vertical="center" readingOrder="1"/>
    </xf>
    <xf numFmtId="14" fontId="1" fillId="0" borderId="0" xfId="2" applyNumberFormat="1" applyFill="1">
      <alignment horizontal="center" vertical="center" wrapText="1" readingOrder="1"/>
    </xf>
    <xf numFmtId="0" fontId="1" fillId="0" borderId="0" xfId="1" applyFont="1" applyFill="1">
      <alignment horizontal="center" vertical="center" readingOrder="1"/>
    </xf>
    <xf numFmtId="0" fontId="5" fillId="0" borderId="0" xfId="0" applyFont="1" applyAlignment="1">
      <alignment horizontal="left" vertical="center" wrapText="1"/>
    </xf>
    <xf numFmtId="14" fontId="5" fillId="0" borderId="0" xfId="0" applyNumberFormat="1" applyFont="1" applyAlignment="1">
      <alignment horizontal="left" vertical="center" wrapText="1"/>
    </xf>
    <xf numFmtId="0" fontId="3" fillId="0" borderId="0" xfId="1" applyFont="1" applyFill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/>
    </xf>
    <xf numFmtId="0" fontId="7" fillId="0" borderId="0" xfId="1" applyFont="1" applyFill="1">
      <alignment horizontal="center" vertical="center" readingOrder="1"/>
    </xf>
  </cellXfs>
  <cellStyles count="3">
    <cellStyle name="Normal" xfId="0" builtinId="0"/>
    <cellStyle name="Style 1" xfId="1" xr:uid="{0AA9E51F-1294-4EAD-9A9E-956D0A8B116D}"/>
    <cellStyle name="Style 2" xfId="2" xr:uid="{91972EE0-51DA-4DCD-A617-94EBA84E7A64}"/>
  </cellStyles>
  <dxfs count="83">
    <dxf>
      <font>
        <strike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numFmt numFmtId="19" formatCode="dd/mm/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numFmt numFmtId="19" formatCode="dd/mm/yy"/>
      <fill>
        <patternFill patternType="none">
          <fgColor indexed="64"/>
          <bgColor auto="1"/>
        </patternFill>
      </fill>
    </dxf>
    <dxf>
      <numFmt numFmtId="19" formatCode="dd/mm/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numFmt numFmtId="19" formatCode="dd/mm/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numFmt numFmtId="19" formatCode="dd/mm/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ckwell"/>
        <family val="2"/>
        <scheme val="minor"/>
      </font>
      <numFmt numFmtId="19" formatCode="dd/mm/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ckwel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bgColor auto="1"/>
        </patternFill>
      </fill>
    </dxf>
    <dxf>
      <border>
        <left style="thick">
          <color theme="1"/>
        </left>
        <right style="thick">
          <color theme="1"/>
        </right>
        <top style="thick">
          <color theme="1"/>
        </top>
        <bottom style="thick">
          <color theme="1"/>
        </bottom>
        <vertical style="medium">
          <color theme="1"/>
        </vertical>
        <horizontal style="medium">
          <color theme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medium">
          <color auto="1"/>
        </vertical>
        <horizontal style="thick">
          <color auto="1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 defaultTableStyle="Table Style 3">
    <tableStyle name="Customer-style" pivot="0" count="4" xr9:uid="{00000000-0011-0000-FFFF-FFFF00000000}">
      <tableStyleElement type="wholeTable" size="0" dxfId="82"/>
      <tableStyleElement type="headerRow" dxfId="81"/>
      <tableStyleElement type="firstRowStripe" dxfId="80"/>
      <tableStyleElement type="secondRowStripe" dxfId="79"/>
    </tableStyle>
    <tableStyle name="Account Details-style" pivot="0" count="4" xr9:uid="{00000000-0011-0000-FFFF-FFFF01000000}">
      <tableStyleElement type="wholeTable" size="0" dxfId="78"/>
      <tableStyleElement type="headerRow" dxfId="77"/>
      <tableStyleElement type="firstRowStripe" dxfId="76"/>
      <tableStyleElement type="secondRowStripe" dxfId="75"/>
    </tableStyle>
    <tableStyle name="Meter Details-style" pivot="0" count="4" xr9:uid="{00000000-0011-0000-FFFF-FFFF02000000}">
      <tableStyleElement type="wholeTable" size="0" dxfId="74"/>
      <tableStyleElement type="headerRow" dxfId="73"/>
      <tableStyleElement type="firstRowStripe" dxfId="72"/>
      <tableStyleElement type="secondRowStripe" dxfId="71"/>
    </tableStyle>
    <tableStyle name="Meter_Readings-style" pivot="0" count="4" xr9:uid="{00000000-0011-0000-FFFF-FFFF03000000}">
      <tableStyleElement type="wholeTable" size="0" dxfId="70"/>
      <tableStyleElement type="headerRow" dxfId="69"/>
      <tableStyleElement type="firstRowStripe" dxfId="68"/>
      <tableStyleElement type="secondRowStripe" dxfId="67"/>
    </tableStyle>
    <tableStyle name="Monthly_Bills-style" pivot="0" count="4" xr9:uid="{00000000-0011-0000-FFFF-FFFF04000000}">
      <tableStyleElement type="wholeTable" size="0" dxfId="66"/>
      <tableStyleElement type="headerRow" dxfId="65"/>
      <tableStyleElement type="firstRowStripe" dxfId="64"/>
      <tableStyleElement type="secondRowStripe" dxfId="63"/>
    </tableStyle>
    <tableStyle name="Payment_Details-style" pivot="0" count="4" xr9:uid="{00000000-0011-0000-FFFF-FFFF05000000}">
      <tableStyleElement type="wholeTable" size="0" dxfId="62"/>
      <tableStyleElement type="headerRow" dxfId="61"/>
      <tableStyleElement type="firstRowStripe" dxfId="60"/>
      <tableStyleElement type="secondRowStripe" dxfId="59"/>
    </tableStyle>
    <tableStyle name="Charges-style" pivot="0" count="4" xr9:uid="{00000000-0011-0000-FFFF-FFFF06000000}">
      <tableStyleElement type="wholeTable" size="0" dxfId="58"/>
      <tableStyleElement type="headerRow" dxfId="57"/>
      <tableStyleElement type="firstRowStripe" dxfId="56"/>
      <tableStyleElement type="secondRowStripe" dxfId="55"/>
    </tableStyle>
    <tableStyle name="Table Style 1" pivot="0" count="1" xr9:uid="{F019B38D-14CF-4DB1-9FF0-68D976C006F5}">
      <tableStyleElement type="wholeTable" dxfId="54"/>
    </tableStyle>
    <tableStyle name="Table Style 2" pivot="0" count="1" xr9:uid="{DF94F9AD-1251-47FD-86E6-0F17FAA860CD}">
      <tableStyleElement type="wholeTable" dxfId="53"/>
    </tableStyle>
    <tableStyle name="Table Style 3" pivot="0" count="1" xr9:uid="{0236BB59-73CD-4D6B-A96B-39B06D5DA661}">
      <tableStyleElement type="wholeTable" dxfId="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CFDF19-919F-4FA6-B01F-D8D8780E67CD}" name="Table8" displayName="Table8" ref="B4:J34" totalsRowShown="0" headerRowDxfId="51" dataDxfId="49" headerRowBorderDxfId="50" headerRowCellStyle="Style 1" dataCellStyle="Style 1">
  <autoFilter ref="B4:J34" xr:uid="{12CFDF19-919F-4FA6-B01F-D8D8780E67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97D9C8A-5F89-49FE-B960-76873152E9C1}" name="CustomerID" dataDxfId="48" dataCellStyle="Style 1"/>
    <tableColumn id="2" xr3:uid="{FC37DE11-7982-4133-900F-CC50A38C5F90}" name="FirstName" dataDxfId="47" dataCellStyle="Style 1"/>
    <tableColumn id="3" xr3:uid="{19A43331-5728-4439-8E26-7EEB2BA83552}" name="LastName" dataDxfId="46" dataCellStyle="Style 1"/>
    <tableColumn id="4" xr3:uid="{DF5BC4DD-A759-48D3-86AB-393751549C0C}" name="PhoneNumber" dataDxfId="45" dataCellStyle="Style 1"/>
    <tableColumn id="5" xr3:uid="{328C80AC-32C3-42BE-A552-FCE7C913094B}" name="Email" dataDxfId="44" dataCellStyle="Style 1"/>
    <tableColumn id="6" xr3:uid="{B78F4530-A9C3-423E-8050-55E1B6C0C8DE}" name="Address" dataDxfId="43" dataCellStyle="Style 1"/>
    <tableColumn id="7" xr3:uid="{BD73C3B6-7B33-40CF-B28B-2496CE4260CA}" name="City" dataDxfId="42" dataCellStyle="Style 1"/>
    <tableColumn id="8" xr3:uid="{4A217976-9C36-40AA-8295-31EB8D159703}" name="ZipCode" dataDxfId="41" dataCellStyle="Style 1"/>
    <tableColumn id="9" xr3:uid="{A3D8A5DE-D358-4E5E-A7AE-9A3A3BC85A3F}" name="AccountStatus" dataDxfId="40" dataCellStyle="Style 1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909714-C33D-46AD-A371-1F23C0B53DF8}" name="Table9" displayName="Table9" ref="L4:N34" totalsRowShown="0" headerRowDxfId="39" dataDxfId="38" headerRowCellStyle="Style 1">
  <autoFilter ref="L4:N34" xr:uid="{B4909714-C33D-46AD-A371-1F23C0B53DF8}">
    <filterColumn colId="0" hiddenButton="1"/>
    <filterColumn colId="1" hiddenButton="1"/>
    <filterColumn colId="2" hiddenButton="1"/>
  </autoFilter>
  <tableColumns count="3">
    <tableColumn id="1" xr3:uid="{AA111BD0-BBF9-4ED6-803B-ECC2A5DC099D}" name="AccountID" dataDxfId="37" dataCellStyle="Style 1"/>
    <tableColumn id="2" xr3:uid="{C731B19F-8DE5-4F33-A3D0-A136C2A8BC50}" name="CustomerID" dataDxfId="36" dataCellStyle="Style 1"/>
    <tableColumn id="3" xr3:uid="{93B36D22-8948-42C3-8208-0D0A66DA983A}" name="ServiceStartDate" dataDxfId="35"/>
  </tableColumns>
  <tableStyleInfo name="TableStyleDark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410B3B-2695-4AF6-A944-CA79C8204255}" name="Table11" displayName="Table11" ref="P4:V49" totalsRowShown="0" headerRowDxfId="34" dataDxfId="33">
  <autoFilter ref="P4:V49" xr:uid="{C1410B3B-2695-4AF6-A944-CA79C82042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B896DE1-4EFC-4289-A66F-7869AC71EEB3}" name="MeterNumber" dataDxfId="32"/>
    <tableColumn id="2" xr3:uid="{70C059EA-9475-43C6-884D-3A25ACCA7045}" name="MeterType" dataDxfId="31"/>
    <tableColumn id="3" xr3:uid="{A32EBBC5-6369-4532-BAF7-E0FF4CB01472}" name="InstallationDate" dataDxfId="30"/>
    <tableColumn id="4" xr3:uid="{784C5C8A-0CDA-486B-9A6E-89D5C85F5AE7}" name="AccountID" dataDxfId="29"/>
    <tableColumn id="5" xr3:uid="{993EBE31-B042-42B5-8D48-7A9E456F3A3D}" name="ReadingDate" dataDxfId="28"/>
    <tableColumn id="6" xr3:uid="{60E95009-03D8-451F-9433-FB3DDB0BC138}" name="PreviousReading" dataDxfId="27"/>
    <tableColumn id="7" xr3:uid="{A6C6A6F1-12B8-430D-9674-B42AEE21BB95}" name="CurrentReading" dataDxfId="26"/>
  </tableColumns>
  <tableStyleInfo name="TableStyleDark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4383D79-EA06-4E3D-8154-CA5BA735B893}" name="Table12" displayName="Table12" ref="X4:AG49" totalsRowShown="0" headerRowDxfId="25" dataDxfId="24" headerRowCellStyle="Style 1" dataCellStyle="Style 1">
  <autoFilter ref="X4:AG49" xr:uid="{D4383D79-EA06-4E3D-8154-CA5BA735B8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39490AC-82CB-4F66-8489-38C08067E783}" name="BillID" dataDxfId="23" dataCellStyle="Style 1"/>
    <tableColumn id="2" xr3:uid="{4A93E04E-AAFA-462E-A262-1A5D0EA1C2BD}" name="AccountID" dataDxfId="22" dataCellStyle="Style 1"/>
    <tableColumn id="3" xr3:uid="{76E60FCB-68D3-4C37-B424-807EA81B71B6}" name="IssueDate" dataDxfId="21" dataCellStyle="Style 2"/>
    <tableColumn id="4" xr3:uid="{30CE3257-87B6-4473-8789-5EF97229BCA3}" name="DueDate" dataDxfId="20" dataCellStyle="Style 2"/>
    <tableColumn id="5" xr3:uid="{D7721EE9-6F1B-4AEC-9D4A-D39F63FBF9E3}" name="UnitsConsumed" dataDxfId="19" dataCellStyle="Style 1">
      <calculatedColumnFormula>SUM('Utility System'!$V5-'Utility System'!$U5)</calculatedColumnFormula>
    </tableColumn>
    <tableColumn id="6" xr3:uid="{FDB22A74-9EE7-42A8-AA03-055D18FA0AB8}" name="EnergyCharges" dataDxfId="18" dataCellStyle="Style 1">
      <calculatedColumnFormula>IF(Q5="Electricity",AB5*$AP$5,IF(Q5="Water",AB5*$AP$6,IF(Q5="Gas",AB5*$AP$7)))</calculatedColumnFormula>
    </tableColumn>
    <tableColumn id="7" xr3:uid="{650EC89F-E88A-4B07-AAED-D136319D2C9B}" name="AdditionalCharges" dataDxfId="17" dataCellStyle="Style 1">
      <calculatedColumnFormula>IF(Q5="Electricity",$AS$5+$AQ$5,IF(Q5="Water",$AS$6+$AQ$6,IF(Q5="Gas",$AS$7+$AQ$7)))</calculatedColumnFormula>
    </tableColumn>
    <tableColumn id="8" xr3:uid="{E6D29CE2-760C-4305-BDB7-23ABE3104D38}" name="TaxAmount" dataDxfId="16" dataCellStyle="Style 1">
      <calculatedColumnFormula>IF(Q5="Electricity",(AC5*$AR$5)/100,IF(Q5="Water",(AC5*$AR$6)/100,IF(Q5="Gas",(AC5*$AR$7)/100)))</calculatedColumnFormula>
    </tableColumn>
    <tableColumn id="9" xr3:uid="{B0EF0CBC-5C66-4597-8778-AAECDF5F15E4}" name="TotalBill" dataDxfId="15" dataCellStyle="Style 1">
      <calculatedColumnFormula>SUM(Table12[[#This Row],[EnergyCharges]:[TaxAmount]])</calculatedColumnFormula>
    </tableColumn>
    <tableColumn id="10" xr3:uid="{7739BB68-EC46-4AD0-A309-D6F2C2DA2E07}" name="PaymentStatus" dataDxfId="14" dataCellStyle="Style 1"/>
  </tableColumns>
  <tableStyleInfo name="TableStyleDark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A6CFB49-2B69-41E2-A926-834DD05A0058}" name="Table13" displayName="Table13" ref="AI4:AM49" totalsRowShown="0" headerRowDxfId="13" dataDxfId="12" headerRowCellStyle="Style 1" dataCellStyle="Style 1">
  <autoFilter ref="AI4:AM49" xr:uid="{DA6CFB49-2B69-41E2-A926-834DD05A005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768D36E-78C6-4352-A322-1B10667E3E52}" name="PaymentID" dataDxfId="11" dataCellStyle="Style 1"/>
    <tableColumn id="2" xr3:uid="{4007A6E6-D383-47B6-9381-3FF9DFC08C22}" name="BillID" dataDxfId="10" dataCellStyle="Style 1"/>
    <tableColumn id="3" xr3:uid="{A2DDE658-F303-4C5E-8FF9-2C9B90FB6D1E}" name="PaymentDate" dataDxfId="9" dataCellStyle="Style 2"/>
    <tableColumn id="4" xr3:uid="{504907AF-FC9C-4E4A-8C32-B5B40A6FA576}" name="PaymentAmount" dataDxfId="8" dataCellStyle="Style 1">
      <calculatedColumnFormula>SUM(Table12[[#This Row],[EnergyCharges]:[TaxAmount]])</calculatedColumnFormula>
    </tableColumn>
    <tableColumn id="5" xr3:uid="{AE12F208-1C4B-4013-81FD-790B688E2EF5}" name="PaymentMethod" dataDxfId="7" dataCellStyle="Style 1"/>
  </tableColumns>
  <tableStyleInfo name="TableStyleDark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1935DC8-8348-49F1-AC93-A4D51A45627B}" name="Table14" displayName="Table14" ref="AO4:AS7" totalsRowShown="0" headerRowDxfId="6" dataDxfId="5" headerRowCellStyle="Style 1">
  <autoFilter ref="AO4:AS7" xr:uid="{41935DC8-8348-49F1-AC93-A4D51A45627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A31B2B3-FECD-46AA-8922-5E93DA7EB9E4}" name="UtilityType" dataDxfId="4"/>
    <tableColumn id="2" xr3:uid="{0C081176-F5A6-46CF-A70E-58EF19C4235B}" name="EnergyCharges" dataDxfId="3"/>
    <tableColumn id="3" xr3:uid="{95D7F4C9-8FC2-474D-9E31-5665D82DF41C}" name="FixedCharge" dataDxfId="2"/>
    <tableColumn id="4" xr3:uid="{B4564FCE-8822-492A-9DA8-DB136104E43B}" name="TaxPercentage" dataDxfId="1"/>
    <tableColumn id="5" xr3:uid="{EF493362-EC1E-493E-8307-829298B1FF17}" name="ServiceFee" dataDxfId="0"/>
  </tableColumns>
  <tableStyleInfo name="TableStyleDark3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8180-2A04-44BB-9953-780BB76CAB96}">
  <sheetPr codeName="Sheet1"/>
  <dimension ref="B2:AT53"/>
  <sheetViews>
    <sheetView showGridLines="0" tabSelected="1" topLeftCell="AI3" zoomScaleNormal="100" workbookViewId="0">
      <selection activeCell="AH17" sqref="AH17"/>
    </sheetView>
  </sheetViews>
  <sheetFormatPr defaultRowHeight="12.75" x14ac:dyDescent="0.2"/>
  <cols>
    <col min="2" max="2" width="12.5703125" bestFit="1" customWidth="1"/>
    <col min="3" max="3" width="10.85546875" bestFit="1" customWidth="1"/>
    <col min="4" max="4" width="10.42578125" bestFit="1" customWidth="1"/>
    <col min="5" max="5" width="14.7109375" bestFit="1" customWidth="1"/>
    <col min="6" max="6" width="29.42578125" bestFit="1" customWidth="1"/>
    <col min="7" max="7" width="11.28515625" bestFit="1" customWidth="1"/>
    <col min="8" max="8" width="9.85546875" bestFit="1" customWidth="1"/>
    <col min="9" max="9" width="9" bestFit="1" customWidth="1"/>
    <col min="10" max="10" width="14.42578125" bestFit="1" customWidth="1"/>
    <col min="12" max="12" width="11" bestFit="1" customWidth="1"/>
    <col min="13" max="13" width="12.5703125" bestFit="1" customWidth="1"/>
    <col min="14" max="14" width="16.7109375" bestFit="1" customWidth="1"/>
    <col min="16" max="16" width="14.5703125" bestFit="1" customWidth="1"/>
    <col min="17" max="17" width="11.42578125" bestFit="1" customWidth="1"/>
    <col min="18" max="18" width="16.28515625" bestFit="1" customWidth="1"/>
    <col min="19" max="19" width="11" bestFit="1" customWidth="1"/>
    <col min="20" max="20" width="13.28515625" bestFit="1" customWidth="1"/>
    <col min="21" max="21" width="17.28515625" bestFit="1" customWidth="1"/>
    <col min="22" max="22" width="16.28515625" bestFit="1" customWidth="1"/>
    <col min="24" max="24" width="9.42578125" bestFit="1" customWidth="1"/>
    <col min="25" max="25" width="11" bestFit="1" customWidth="1"/>
    <col min="26" max="26" width="10.42578125" bestFit="1" customWidth="1"/>
    <col min="27" max="27" width="9.28515625" bestFit="1" customWidth="1"/>
    <col min="28" max="28" width="16.140625" bestFit="1" customWidth="1"/>
    <col min="29" max="29" width="15.7109375" bestFit="1" customWidth="1"/>
    <col min="30" max="30" width="19" bestFit="1" customWidth="1"/>
    <col min="31" max="31" width="11.85546875" bestFit="1" customWidth="1"/>
    <col min="32" max="32" width="9.28515625" bestFit="1" customWidth="1"/>
    <col min="33" max="33" width="15.140625" bestFit="1" customWidth="1"/>
    <col min="34" max="34" width="9.7109375" customWidth="1"/>
    <col min="35" max="35" width="11.5703125" bestFit="1" customWidth="1"/>
    <col min="36" max="36" width="9.42578125" bestFit="1" customWidth="1"/>
    <col min="37" max="37" width="13.7109375" style="12" bestFit="1" customWidth="1"/>
    <col min="38" max="38" width="16.7109375" style="12" bestFit="1" customWidth="1"/>
    <col min="39" max="39" width="16.5703125" bestFit="1" customWidth="1"/>
    <col min="40" max="40" width="16.140625" customWidth="1"/>
    <col min="41" max="41" width="11.5703125" bestFit="1" customWidth="1"/>
    <col min="42" max="42" width="15.7109375" bestFit="1" customWidth="1"/>
    <col min="43" max="43" width="13.28515625" bestFit="1" customWidth="1"/>
    <col min="44" max="44" width="15.28515625" bestFit="1" customWidth="1"/>
    <col min="45" max="45" width="11.28515625" bestFit="1" customWidth="1"/>
    <col min="46" max="46" width="10.85546875" customWidth="1"/>
    <col min="47" max="47" width="11.28515625" customWidth="1"/>
  </cols>
  <sheetData>
    <row r="2" spans="2:46" s="13" customFormat="1" ht="34.5" x14ac:dyDescent="0.2">
      <c r="B2" s="17" t="s">
        <v>329</v>
      </c>
      <c r="C2" s="17"/>
      <c r="D2" s="17"/>
      <c r="E2" s="17"/>
      <c r="F2" s="17"/>
      <c r="G2" s="17"/>
      <c r="H2" s="17"/>
      <c r="I2" s="17"/>
      <c r="J2" s="17"/>
      <c r="L2" s="16" t="s">
        <v>330</v>
      </c>
      <c r="M2" s="16"/>
      <c r="N2" s="16"/>
      <c r="P2" s="16" t="s">
        <v>331</v>
      </c>
      <c r="Q2" s="16"/>
      <c r="R2" s="16"/>
      <c r="S2" s="16"/>
      <c r="T2" s="16"/>
      <c r="U2" s="16"/>
      <c r="V2" s="16"/>
      <c r="X2" s="16" t="s">
        <v>332</v>
      </c>
      <c r="Y2" s="16"/>
      <c r="Z2" s="16"/>
      <c r="AA2" s="16"/>
      <c r="AB2" s="16"/>
      <c r="AC2" s="16"/>
      <c r="AD2" s="16"/>
      <c r="AE2" s="16"/>
      <c r="AF2" s="16"/>
      <c r="AG2" s="16"/>
      <c r="AH2" s="14"/>
      <c r="AI2" s="16" t="s">
        <v>333</v>
      </c>
      <c r="AJ2" s="16"/>
      <c r="AK2" s="16"/>
      <c r="AL2" s="16"/>
      <c r="AM2" s="16"/>
      <c r="AN2" s="14"/>
      <c r="AO2" s="16" t="s">
        <v>334</v>
      </c>
      <c r="AP2" s="16"/>
      <c r="AQ2" s="16"/>
      <c r="AR2" s="16"/>
      <c r="AS2" s="16"/>
      <c r="AT2" s="14"/>
    </row>
    <row r="3" spans="2:46" s="13" customFormat="1" ht="34.5" x14ac:dyDescent="0.2">
      <c r="B3" s="17"/>
      <c r="C3" s="17"/>
      <c r="D3" s="17"/>
      <c r="E3" s="17"/>
      <c r="F3" s="17"/>
      <c r="G3" s="17"/>
      <c r="H3" s="17"/>
      <c r="I3" s="17"/>
      <c r="J3" s="17"/>
      <c r="L3" s="16"/>
      <c r="M3" s="16"/>
      <c r="N3" s="16"/>
      <c r="P3" s="16"/>
      <c r="Q3" s="16"/>
      <c r="R3" s="16"/>
      <c r="S3" s="16"/>
      <c r="T3" s="16"/>
      <c r="U3" s="16"/>
      <c r="V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4"/>
      <c r="AI3" s="16"/>
      <c r="AJ3" s="16"/>
      <c r="AK3" s="16"/>
      <c r="AL3" s="16"/>
      <c r="AM3" s="16"/>
      <c r="AN3" s="14"/>
      <c r="AO3" s="16"/>
      <c r="AP3" s="16"/>
      <c r="AQ3" s="16"/>
      <c r="AR3" s="16"/>
      <c r="AS3" s="16"/>
      <c r="AT3" s="14"/>
    </row>
    <row r="4" spans="2:46" s="9" customFormat="1" x14ac:dyDescent="0.2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335</v>
      </c>
      <c r="H4" s="8" t="s">
        <v>5</v>
      </c>
      <c r="I4" s="8" t="s">
        <v>6</v>
      </c>
      <c r="J4" s="8" t="s">
        <v>7</v>
      </c>
      <c r="L4" s="8" t="s">
        <v>38</v>
      </c>
      <c r="M4" s="8" t="s">
        <v>0</v>
      </c>
      <c r="N4" s="8" t="s">
        <v>40</v>
      </c>
      <c r="P4" s="10" t="s">
        <v>73</v>
      </c>
      <c r="Q4" s="10" t="s">
        <v>74</v>
      </c>
      <c r="R4" s="10" t="s">
        <v>75</v>
      </c>
      <c r="S4" s="10" t="s">
        <v>38</v>
      </c>
      <c r="T4" s="10" t="s">
        <v>76</v>
      </c>
      <c r="U4" s="10" t="s">
        <v>77</v>
      </c>
      <c r="V4" s="10" t="s">
        <v>78</v>
      </c>
      <c r="X4" s="8" t="s">
        <v>80</v>
      </c>
      <c r="Y4" s="8" t="s">
        <v>38</v>
      </c>
      <c r="Z4" s="8" t="s">
        <v>238</v>
      </c>
      <c r="AA4" s="8" t="s">
        <v>81</v>
      </c>
      <c r="AB4" s="8" t="s">
        <v>79</v>
      </c>
      <c r="AC4" s="8" t="s">
        <v>82</v>
      </c>
      <c r="AD4" s="8" t="s">
        <v>337</v>
      </c>
      <c r="AE4" s="8" t="s">
        <v>338</v>
      </c>
      <c r="AF4" s="8" t="s">
        <v>336</v>
      </c>
      <c r="AG4" s="8" t="s">
        <v>339</v>
      </c>
      <c r="AI4" s="8" t="s">
        <v>85</v>
      </c>
      <c r="AJ4" s="8" t="s">
        <v>80</v>
      </c>
      <c r="AK4" s="8" t="s">
        <v>86</v>
      </c>
      <c r="AL4" s="8" t="s">
        <v>87</v>
      </c>
      <c r="AM4" s="8" t="s">
        <v>88</v>
      </c>
      <c r="AO4" s="8" t="s">
        <v>39</v>
      </c>
      <c r="AP4" s="8" t="s">
        <v>82</v>
      </c>
      <c r="AQ4" s="8" t="s">
        <v>92</v>
      </c>
      <c r="AR4" s="8" t="s">
        <v>93</v>
      </c>
      <c r="AS4" s="8" t="s">
        <v>94</v>
      </c>
    </row>
    <row r="5" spans="2:46" s="11" customFormat="1" x14ac:dyDescent="0.2">
      <c r="B5" s="3" t="s">
        <v>96</v>
      </c>
      <c r="C5" s="3" t="s">
        <v>8</v>
      </c>
      <c r="D5" s="3" t="s">
        <v>9</v>
      </c>
      <c r="E5" s="3">
        <v>3001234501</v>
      </c>
      <c r="F5" s="3" t="s">
        <v>97</v>
      </c>
      <c r="G5" s="3" t="s">
        <v>10</v>
      </c>
      <c r="H5" s="3" t="s">
        <v>11</v>
      </c>
      <c r="I5" s="3">
        <v>74400</v>
      </c>
      <c r="J5" s="3" t="s">
        <v>12</v>
      </c>
      <c r="L5" s="3" t="s">
        <v>41</v>
      </c>
      <c r="M5" s="3" t="s">
        <v>96</v>
      </c>
      <c r="N5" s="7">
        <v>44927</v>
      </c>
      <c r="P5" s="6" t="s">
        <v>193</v>
      </c>
      <c r="Q5" s="6" t="s">
        <v>42</v>
      </c>
      <c r="R5" s="7">
        <v>44927</v>
      </c>
      <c r="S5" s="6" t="s">
        <v>41</v>
      </c>
      <c r="T5" s="7">
        <v>45296</v>
      </c>
      <c r="U5" s="6">
        <v>100</v>
      </c>
      <c r="V5" s="6">
        <v>150</v>
      </c>
      <c r="X5" s="3" t="s">
        <v>239</v>
      </c>
      <c r="Y5" s="3" t="s">
        <v>41</v>
      </c>
      <c r="Z5" s="4">
        <v>45235</v>
      </c>
      <c r="AA5" s="4">
        <v>45250</v>
      </c>
      <c r="AB5" s="5">
        <f>SUM('Utility System'!$V5-'Utility System'!$U5)</f>
        <v>50</v>
      </c>
      <c r="AC5" s="5">
        <f>IF(Q5="Electricity",AB5*$AP$5,IF(Q5="Water",AB5*$AP$6,IF(Q5="Gas",AB5*$AP$7)))</f>
        <v>2100</v>
      </c>
      <c r="AD5" s="5">
        <f t="shared" ref="AD5:AD49" si="0">IF(Q5="Electricity",$AS$5+$AQ$5,IF(Q5="Water",$AS$6+$AQ$6,IF(Q5="Gas",$AS$7+$AQ$7)))</f>
        <v>320</v>
      </c>
      <c r="AE5" s="5">
        <f>IF(Q5="Electricity",(AC5*$AR$5)/100,IF(Q5="Water",(AC5*$AR$6)/100,IF(Q5="Gas",(AC5*$AR$7)/100)))</f>
        <v>210</v>
      </c>
      <c r="AF5" s="5">
        <f>SUM(Table12[[#This Row],[EnergyCharges]:[TaxAmount]])</f>
        <v>2630</v>
      </c>
      <c r="AG5" s="3" t="s">
        <v>84</v>
      </c>
      <c r="AI5" s="3" t="s">
        <v>284</v>
      </c>
      <c r="AJ5" s="3" t="s">
        <v>239</v>
      </c>
      <c r="AK5" s="4">
        <v>45250</v>
      </c>
      <c r="AL5" s="5">
        <f>SUM(Table12[[#This Row],[EnergyCharges]:[TaxAmount]])</f>
        <v>2630</v>
      </c>
      <c r="AM5" s="3" t="s">
        <v>89</v>
      </c>
      <c r="AO5" s="1" t="s">
        <v>42</v>
      </c>
      <c r="AP5" s="2">
        <v>42</v>
      </c>
      <c r="AQ5" s="2">
        <v>120</v>
      </c>
      <c r="AR5" s="2">
        <v>10</v>
      </c>
      <c r="AS5" s="2">
        <v>200</v>
      </c>
    </row>
    <row r="6" spans="2:46" s="11" customFormat="1" x14ac:dyDescent="0.2">
      <c r="B6" s="3" t="s">
        <v>98</v>
      </c>
      <c r="C6" s="3" t="s">
        <v>13</v>
      </c>
      <c r="D6" s="3" t="s">
        <v>14</v>
      </c>
      <c r="E6" s="3">
        <v>3001234502</v>
      </c>
      <c r="F6" s="3" t="s">
        <v>99</v>
      </c>
      <c r="G6" s="3" t="s">
        <v>15</v>
      </c>
      <c r="H6" s="3" t="s">
        <v>16</v>
      </c>
      <c r="I6" s="3">
        <v>54000</v>
      </c>
      <c r="J6" s="3" t="s">
        <v>12</v>
      </c>
      <c r="L6" s="3" t="s">
        <v>43</v>
      </c>
      <c r="M6" s="3" t="s">
        <v>98</v>
      </c>
      <c r="N6" s="7">
        <v>44931</v>
      </c>
      <c r="P6" s="6" t="s">
        <v>194</v>
      </c>
      <c r="Q6" s="6" t="s">
        <v>45</v>
      </c>
      <c r="R6" s="7">
        <v>44931</v>
      </c>
      <c r="S6" s="6" t="s">
        <v>41</v>
      </c>
      <c r="T6" s="7">
        <v>45301</v>
      </c>
      <c r="U6" s="6">
        <v>80</v>
      </c>
      <c r="V6" s="6">
        <v>130</v>
      </c>
      <c r="X6" s="3" t="s">
        <v>240</v>
      </c>
      <c r="Y6" s="3" t="s">
        <v>41</v>
      </c>
      <c r="Z6" s="4">
        <v>45235</v>
      </c>
      <c r="AA6" s="4">
        <v>45250</v>
      </c>
      <c r="AB6" s="5">
        <f>SUM('Utility System'!$V6-'Utility System'!$U6)</f>
        <v>50</v>
      </c>
      <c r="AC6" s="5">
        <f t="shared" ref="AC6:AC49" si="1">IF(Q6="Electricity",AB6*$AP$5,IF(Q6="Water",AB6*$AP$6,IF(Q6="Gas",AB6*$AP$7)))</f>
        <v>700</v>
      </c>
      <c r="AD6" s="5">
        <f t="shared" si="0"/>
        <v>250</v>
      </c>
      <c r="AE6" s="5">
        <f t="shared" ref="AE6:AE49" si="2">IF(Q6="Electricity",(AC6*$AR$5)/100,IF(Q6="Water",(AC6*$AR$6)/100,IF(Q6="Gas",(AC6*$AR$7)/100)))</f>
        <v>35</v>
      </c>
      <c r="AF6" s="5">
        <f>SUM(Table12[[#This Row],[EnergyCharges]:[TaxAmount]])</f>
        <v>985</v>
      </c>
      <c r="AG6" s="3" t="s">
        <v>83</v>
      </c>
      <c r="AI6" s="3" t="s">
        <v>285</v>
      </c>
      <c r="AJ6" s="3" t="s">
        <v>240</v>
      </c>
      <c r="AK6" s="4">
        <v>45250</v>
      </c>
      <c r="AL6" s="5">
        <f>SUM(Table12[[#This Row],[EnergyCharges]:[TaxAmount]])</f>
        <v>985</v>
      </c>
      <c r="AM6" s="3" t="s">
        <v>90</v>
      </c>
      <c r="AO6" s="1" t="s">
        <v>45</v>
      </c>
      <c r="AP6" s="2">
        <v>14</v>
      </c>
      <c r="AQ6" s="2">
        <v>100</v>
      </c>
      <c r="AR6" s="2">
        <v>5</v>
      </c>
      <c r="AS6" s="2">
        <v>150</v>
      </c>
    </row>
    <row r="7" spans="2:46" s="11" customFormat="1" x14ac:dyDescent="0.2">
      <c r="B7" s="3" t="s">
        <v>100</v>
      </c>
      <c r="C7" s="3" t="s">
        <v>27</v>
      </c>
      <c r="D7" s="3" t="s">
        <v>8</v>
      </c>
      <c r="E7" s="3">
        <v>3001234503</v>
      </c>
      <c r="F7" s="3" t="s">
        <v>101</v>
      </c>
      <c r="G7" s="3" t="s">
        <v>35</v>
      </c>
      <c r="H7" s="3" t="s">
        <v>17</v>
      </c>
      <c r="I7" s="3">
        <v>44000</v>
      </c>
      <c r="J7" s="3" t="s">
        <v>12</v>
      </c>
      <c r="L7" s="3" t="s">
        <v>44</v>
      </c>
      <c r="M7" s="3" t="s">
        <v>100</v>
      </c>
      <c r="N7" s="7">
        <v>44931</v>
      </c>
      <c r="P7" s="6" t="s">
        <v>195</v>
      </c>
      <c r="Q7" s="6" t="s">
        <v>45</v>
      </c>
      <c r="R7" s="7">
        <v>44931</v>
      </c>
      <c r="S7" s="6" t="s">
        <v>43</v>
      </c>
      <c r="T7" s="7">
        <v>45323</v>
      </c>
      <c r="U7" s="6">
        <v>50</v>
      </c>
      <c r="V7" s="6">
        <v>90</v>
      </c>
      <c r="X7" s="3" t="s">
        <v>241</v>
      </c>
      <c r="Y7" s="3" t="s">
        <v>43</v>
      </c>
      <c r="Z7" s="4">
        <v>45235</v>
      </c>
      <c r="AA7" s="4">
        <v>45250</v>
      </c>
      <c r="AB7" s="5">
        <f>SUM('Utility System'!$V7-'Utility System'!$U7)</f>
        <v>40</v>
      </c>
      <c r="AC7" s="5">
        <f t="shared" si="1"/>
        <v>560</v>
      </c>
      <c r="AD7" s="5">
        <f t="shared" si="0"/>
        <v>250</v>
      </c>
      <c r="AE7" s="5">
        <f t="shared" si="2"/>
        <v>28</v>
      </c>
      <c r="AF7" s="5">
        <f>SUM(Table12[[#This Row],[EnergyCharges]:[TaxAmount]])</f>
        <v>838</v>
      </c>
      <c r="AG7" s="3" t="s">
        <v>84</v>
      </c>
      <c r="AI7" s="3" t="s">
        <v>286</v>
      </c>
      <c r="AJ7" s="3" t="s">
        <v>241</v>
      </c>
      <c r="AK7" s="4">
        <v>45250</v>
      </c>
      <c r="AL7" s="5">
        <f>SUM(Table12[[#This Row],[EnergyCharges]:[TaxAmount]])</f>
        <v>838</v>
      </c>
      <c r="AM7" s="3" t="s">
        <v>89</v>
      </c>
      <c r="AO7" s="1" t="s">
        <v>95</v>
      </c>
      <c r="AP7" s="2">
        <v>18</v>
      </c>
      <c r="AQ7" s="2">
        <v>110</v>
      </c>
      <c r="AR7" s="2">
        <v>8</v>
      </c>
      <c r="AS7" s="2">
        <v>125</v>
      </c>
    </row>
    <row r="8" spans="2:46" s="11" customFormat="1" x14ac:dyDescent="0.2">
      <c r="B8" s="3" t="s">
        <v>102</v>
      </c>
      <c r="C8" s="3" t="s">
        <v>20</v>
      </c>
      <c r="D8" s="3" t="s">
        <v>9</v>
      </c>
      <c r="E8" s="3">
        <v>3001234504</v>
      </c>
      <c r="F8" s="3" t="s">
        <v>103</v>
      </c>
      <c r="G8" s="3" t="s">
        <v>104</v>
      </c>
      <c r="H8" s="3" t="s">
        <v>11</v>
      </c>
      <c r="I8" s="3">
        <v>74400</v>
      </c>
      <c r="J8" s="3" t="s">
        <v>12</v>
      </c>
      <c r="L8" s="3" t="s">
        <v>46</v>
      </c>
      <c r="M8" s="3" t="s">
        <v>102</v>
      </c>
      <c r="N8" s="7">
        <v>44936</v>
      </c>
      <c r="P8" s="6" t="s">
        <v>196</v>
      </c>
      <c r="Q8" s="6" t="s">
        <v>95</v>
      </c>
      <c r="R8" s="7">
        <v>44936</v>
      </c>
      <c r="S8" s="6" t="s">
        <v>43</v>
      </c>
      <c r="T8" s="7">
        <v>45325</v>
      </c>
      <c r="U8" s="6">
        <v>20</v>
      </c>
      <c r="V8" s="6">
        <v>60</v>
      </c>
      <c r="X8" s="3" t="s">
        <v>242</v>
      </c>
      <c r="Y8" s="3" t="s">
        <v>43</v>
      </c>
      <c r="Z8" s="4">
        <v>45235</v>
      </c>
      <c r="AA8" s="4">
        <v>45250</v>
      </c>
      <c r="AB8" s="5">
        <f>SUM('Utility System'!$V8-'Utility System'!$U8)</f>
        <v>40</v>
      </c>
      <c r="AC8" s="5">
        <f t="shared" si="1"/>
        <v>720</v>
      </c>
      <c r="AD8" s="5">
        <f t="shared" si="0"/>
        <v>235</v>
      </c>
      <c r="AE8" s="5">
        <f t="shared" si="2"/>
        <v>57.6</v>
      </c>
      <c r="AF8" s="5">
        <f>SUM(Table12[[#This Row],[EnergyCharges]:[TaxAmount]])</f>
        <v>1012.6</v>
      </c>
      <c r="AG8" s="3" t="s">
        <v>84</v>
      </c>
      <c r="AI8" s="3" t="s">
        <v>287</v>
      </c>
      <c r="AJ8" s="3" t="s">
        <v>242</v>
      </c>
      <c r="AK8" s="4">
        <v>45250</v>
      </c>
      <c r="AL8" s="5">
        <f>SUM(Table12[[#This Row],[EnergyCharges]:[TaxAmount]])</f>
        <v>1012.6</v>
      </c>
      <c r="AM8" s="3" t="s">
        <v>91</v>
      </c>
    </row>
    <row r="9" spans="2:46" s="11" customFormat="1" x14ac:dyDescent="0.2">
      <c r="B9" s="3" t="s">
        <v>105</v>
      </c>
      <c r="C9" s="3" t="s">
        <v>23</v>
      </c>
      <c r="D9" s="3" t="s">
        <v>14</v>
      </c>
      <c r="E9" s="3">
        <v>3001234505</v>
      </c>
      <c r="F9" s="3" t="s">
        <v>106</v>
      </c>
      <c r="G9" s="3" t="s">
        <v>107</v>
      </c>
      <c r="H9" s="3" t="s">
        <v>16</v>
      </c>
      <c r="I9" s="3">
        <v>54000</v>
      </c>
      <c r="J9" s="3" t="s">
        <v>12</v>
      </c>
      <c r="L9" s="3" t="s">
        <v>47</v>
      </c>
      <c r="M9" s="3" t="s">
        <v>105</v>
      </c>
      <c r="N9" s="7">
        <v>44936</v>
      </c>
      <c r="P9" s="6" t="s">
        <v>197</v>
      </c>
      <c r="Q9" s="6" t="s">
        <v>95</v>
      </c>
      <c r="R9" s="7">
        <v>44936</v>
      </c>
      <c r="S9" s="6" t="s">
        <v>44</v>
      </c>
      <c r="T9" s="7">
        <v>45352</v>
      </c>
      <c r="U9" s="6">
        <v>70</v>
      </c>
      <c r="V9" s="6">
        <v>120</v>
      </c>
      <c r="X9" s="3" t="s">
        <v>243</v>
      </c>
      <c r="Y9" s="3" t="s">
        <v>44</v>
      </c>
      <c r="Z9" s="4">
        <v>45235</v>
      </c>
      <c r="AA9" s="4">
        <v>45250</v>
      </c>
      <c r="AB9" s="5">
        <f>SUM('Utility System'!$V9-'Utility System'!$U9)</f>
        <v>50</v>
      </c>
      <c r="AC9" s="5">
        <f t="shared" si="1"/>
        <v>900</v>
      </c>
      <c r="AD9" s="5">
        <f t="shared" si="0"/>
        <v>235</v>
      </c>
      <c r="AE9" s="5">
        <f t="shared" si="2"/>
        <v>72</v>
      </c>
      <c r="AF9" s="5">
        <f>SUM(Table12[[#This Row],[EnergyCharges]:[TaxAmount]])</f>
        <v>1207</v>
      </c>
      <c r="AG9" s="3" t="s">
        <v>84</v>
      </c>
      <c r="AI9" s="3" t="s">
        <v>288</v>
      </c>
      <c r="AJ9" s="3" t="s">
        <v>243</v>
      </c>
      <c r="AK9" s="4">
        <v>45250</v>
      </c>
      <c r="AL9" s="5">
        <f>SUM(Table12[[#This Row],[EnergyCharges]:[TaxAmount]])</f>
        <v>1207</v>
      </c>
      <c r="AM9" s="3" t="s">
        <v>89</v>
      </c>
    </row>
    <row r="10" spans="2:46" s="11" customFormat="1" x14ac:dyDescent="0.2">
      <c r="B10" s="3" t="s">
        <v>108</v>
      </c>
      <c r="C10" s="3" t="s">
        <v>109</v>
      </c>
      <c r="D10" s="3" t="s">
        <v>19</v>
      </c>
      <c r="E10" s="3">
        <v>3001234506</v>
      </c>
      <c r="F10" s="3" t="s">
        <v>110</v>
      </c>
      <c r="G10" s="3" t="s">
        <v>111</v>
      </c>
      <c r="H10" s="3" t="s">
        <v>17</v>
      </c>
      <c r="I10" s="3">
        <v>44000</v>
      </c>
      <c r="J10" s="3" t="s">
        <v>12</v>
      </c>
      <c r="L10" s="3" t="s">
        <v>48</v>
      </c>
      <c r="M10" s="3" t="s">
        <v>108</v>
      </c>
      <c r="N10" s="7">
        <v>44941</v>
      </c>
      <c r="P10" s="6" t="s">
        <v>198</v>
      </c>
      <c r="Q10" s="6" t="s">
        <v>42</v>
      </c>
      <c r="R10" s="7">
        <v>44941</v>
      </c>
      <c r="S10" s="6" t="s">
        <v>44</v>
      </c>
      <c r="T10" s="7">
        <v>45356</v>
      </c>
      <c r="U10" s="6">
        <v>60</v>
      </c>
      <c r="V10" s="6">
        <v>110</v>
      </c>
      <c r="X10" s="3" t="s">
        <v>244</v>
      </c>
      <c r="Y10" s="3" t="s">
        <v>44</v>
      </c>
      <c r="Z10" s="4">
        <v>45235</v>
      </c>
      <c r="AA10" s="4">
        <v>45250</v>
      </c>
      <c r="AB10" s="5">
        <f>SUM('Utility System'!$V10-'Utility System'!$U10)</f>
        <v>50</v>
      </c>
      <c r="AC10" s="5">
        <f t="shared" si="1"/>
        <v>2100</v>
      </c>
      <c r="AD10" s="5">
        <f t="shared" si="0"/>
        <v>320</v>
      </c>
      <c r="AE10" s="5">
        <f t="shared" si="2"/>
        <v>210</v>
      </c>
      <c r="AF10" s="5">
        <f>SUM(Table12[[#This Row],[EnergyCharges]:[TaxAmount]])</f>
        <v>2630</v>
      </c>
      <c r="AG10" s="3" t="s">
        <v>84</v>
      </c>
      <c r="AI10" s="3" t="s">
        <v>289</v>
      </c>
      <c r="AJ10" s="3" t="s">
        <v>244</v>
      </c>
      <c r="AK10" s="4">
        <v>45250</v>
      </c>
      <c r="AL10" s="5">
        <f>SUM(Table12[[#This Row],[EnergyCharges]:[TaxAmount]])</f>
        <v>2630</v>
      </c>
      <c r="AM10" s="3" t="s">
        <v>90</v>
      </c>
    </row>
    <row r="11" spans="2:46" s="11" customFormat="1" x14ac:dyDescent="0.2">
      <c r="B11" s="3" t="s">
        <v>112</v>
      </c>
      <c r="C11" s="3" t="s">
        <v>21</v>
      </c>
      <c r="D11" s="3" t="s">
        <v>9</v>
      </c>
      <c r="E11" s="3">
        <v>3001234507</v>
      </c>
      <c r="F11" s="3" t="s">
        <v>113</v>
      </c>
      <c r="G11" s="3" t="s">
        <v>114</v>
      </c>
      <c r="H11" s="3" t="s">
        <v>11</v>
      </c>
      <c r="I11" s="3">
        <v>74400</v>
      </c>
      <c r="J11" s="3" t="s">
        <v>12</v>
      </c>
      <c r="L11" s="3" t="s">
        <v>49</v>
      </c>
      <c r="M11" s="3" t="s">
        <v>112</v>
      </c>
      <c r="N11" s="7">
        <v>44941</v>
      </c>
      <c r="P11" s="6" t="s">
        <v>199</v>
      </c>
      <c r="Q11" s="6" t="s">
        <v>42</v>
      </c>
      <c r="R11" s="7">
        <v>44941</v>
      </c>
      <c r="S11" s="6" t="s">
        <v>46</v>
      </c>
      <c r="T11" s="7">
        <v>45383</v>
      </c>
      <c r="U11" s="6">
        <v>100</v>
      </c>
      <c r="V11" s="6">
        <v>160</v>
      </c>
      <c r="X11" s="3" t="s">
        <v>245</v>
      </c>
      <c r="Y11" s="3" t="s">
        <v>46</v>
      </c>
      <c r="Z11" s="4">
        <v>45235</v>
      </c>
      <c r="AA11" s="4">
        <v>45250</v>
      </c>
      <c r="AB11" s="5">
        <f>SUM('Utility System'!$V11-'Utility System'!$U11)</f>
        <v>60</v>
      </c>
      <c r="AC11" s="5">
        <f t="shared" si="1"/>
        <v>2520</v>
      </c>
      <c r="AD11" s="5">
        <f t="shared" si="0"/>
        <v>320</v>
      </c>
      <c r="AE11" s="5">
        <f t="shared" si="2"/>
        <v>252</v>
      </c>
      <c r="AF11" s="5">
        <f>SUM(Table12[[#This Row],[EnergyCharges]:[TaxAmount]])</f>
        <v>3092</v>
      </c>
      <c r="AG11" s="3" t="s">
        <v>84</v>
      </c>
      <c r="AI11" s="3" t="s">
        <v>290</v>
      </c>
      <c r="AJ11" s="3" t="s">
        <v>245</v>
      </c>
      <c r="AK11" s="4">
        <v>45250</v>
      </c>
      <c r="AL11" s="5">
        <f>SUM(Table12[[#This Row],[EnergyCharges]:[TaxAmount]])</f>
        <v>3092</v>
      </c>
      <c r="AM11" s="3" t="s">
        <v>89</v>
      </c>
    </row>
    <row r="12" spans="2:46" s="11" customFormat="1" x14ac:dyDescent="0.2">
      <c r="B12" s="3" t="s">
        <v>115</v>
      </c>
      <c r="C12" s="3" t="s">
        <v>30</v>
      </c>
      <c r="D12" s="3" t="s">
        <v>8</v>
      </c>
      <c r="E12" s="3">
        <v>3001234508</v>
      </c>
      <c r="F12" s="3" t="s">
        <v>116</v>
      </c>
      <c r="G12" s="3" t="s">
        <v>117</v>
      </c>
      <c r="H12" s="3" t="s">
        <v>16</v>
      </c>
      <c r="I12" s="3">
        <v>54000</v>
      </c>
      <c r="J12" s="3" t="s">
        <v>12</v>
      </c>
      <c r="L12" s="3" t="s">
        <v>50</v>
      </c>
      <c r="M12" s="3" t="s">
        <v>115</v>
      </c>
      <c r="N12" s="7">
        <v>44946</v>
      </c>
      <c r="P12" s="6" t="s">
        <v>200</v>
      </c>
      <c r="Q12" s="6" t="s">
        <v>45</v>
      </c>
      <c r="R12" s="7">
        <v>44946</v>
      </c>
      <c r="S12" s="6" t="s">
        <v>47</v>
      </c>
      <c r="T12" s="7">
        <v>45387</v>
      </c>
      <c r="U12" s="6">
        <v>30</v>
      </c>
      <c r="V12" s="6">
        <v>75</v>
      </c>
      <c r="X12" s="3" t="s">
        <v>246</v>
      </c>
      <c r="Y12" s="3" t="s">
        <v>47</v>
      </c>
      <c r="Z12" s="4">
        <v>45235</v>
      </c>
      <c r="AA12" s="4">
        <v>45250</v>
      </c>
      <c r="AB12" s="5">
        <f>SUM('Utility System'!$V12-'Utility System'!$U12)</f>
        <v>45</v>
      </c>
      <c r="AC12" s="5">
        <f t="shared" si="1"/>
        <v>630</v>
      </c>
      <c r="AD12" s="5">
        <f t="shared" si="0"/>
        <v>250</v>
      </c>
      <c r="AE12" s="5">
        <f t="shared" si="2"/>
        <v>31.5</v>
      </c>
      <c r="AF12" s="5">
        <f>SUM(Table12[[#This Row],[EnergyCharges]:[TaxAmount]])</f>
        <v>911.5</v>
      </c>
      <c r="AG12" s="3" t="s">
        <v>84</v>
      </c>
      <c r="AI12" s="3" t="s">
        <v>291</v>
      </c>
      <c r="AJ12" s="3" t="s">
        <v>246</v>
      </c>
      <c r="AK12" s="4">
        <v>45250</v>
      </c>
      <c r="AL12" s="5">
        <f>SUM(Table12[[#This Row],[EnergyCharges]:[TaxAmount]])</f>
        <v>911.5</v>
      </c>
      <c r="AM12" s="3" t="s">
        <v>91</v>
      </c>
    </row>
    <row r="13" spans="2:46" s="11" customFormat="1" x14ac:dyDescent="0.2">
      <c r="B13" s="3" t="s">
        <v>118</v>
      </c>
      <c r="C13" s="3" t="s">
        <v>28</v>
      </c>
      <c r="D13" s="3" t="s">
        <v>19</v>
      </c>
      <c r="E13" s="3">
        <v>3001234509</v>
      </c>
      <c r="F13" s="3" t="s">
        <v>119</v>
      </c>
      <c r="G13" s="3" t="s">
        <v>120</v>
      </c>
      <c r="H13" s="3" t="s">
        <v>17</v>
      </c>
      <c r="I13" s="3">
        <v>44000</v>
      </c>
      <c r="J13" s="3" t="s">
        <v>12</v>
      </c>
      <c r="L13" s="3" t="s">
        <v>51</v>
      </c>
      <c r="M13" s="3" t="s">
        <v>118</v>
      </c>
      <c r="N13" s="7">
        <v>44951</v>
      </c>
      <c r="P13" s="6" t="s">
        <v>201</v>
      </c>
      <c r="Q13" s="6" t="s">
        <v>95</v>
      </c>
      <c r="R13" s="7">
        <v>44951</v>
      </c>
      <c r="S13" s="6" t="s">
        <v>48</v>
      </c>
      <c r="T13" s="7">
        <v>45413</v>
      </c>
      <c r="U13" s="6">
        <v>40</v>
      </c>
      <c r="V13" s="6">
        <v>90</v>
      </c>
      <c r="X13" s="3" t="s">
        <v>247</v>
      </c>
      <c r="Y13" s="3" t="s">
        <v>48</v>
      </c>
      <c r="Z13" s="4">
        <v>45235</v>
      </c>
      <c r="AA13" s="4">
        <v>45250</v>
      </c>
      <c r="AB13" s="5">
        <f>SUM('Utility System'!$V13-'Utility System'!$U13)</f>
        <v>50</v>
      </c>
      <c r="AC13" s="5">
        <f t="shared" si="1"/>
        <v>900</v>
      </c>
      <c r="AD13" s="5">
        <f t="shared" si="0"/>
        <v>235</v>
      </c>
      <c r="AE13" s="5">
        <f t="shared" si="2"/>
        <v>72</v>
      </c>
      <c r="AF13" s="5">
        <f>SUM(Table12[[#This Row],[EnergyCharges]:[TaxAmount]])</f>
        <v>1207</v>
      </c>
      <c r="AG13" s="3" t="s">
        <v>83</v>
      </c>
      <c r="AI13" s="3" t="s">
        <v>292</v>
      </c>
      <c r="AJ13" s="3" t="s">
        <v>247</v>
      </c>
      <c r="AK13" s="4">
        <v>45250</v>
      </c>
      <c r="AL13" s="5">
        <f>SUM(Table12[[#This Row],[EnergyCharges]:[TaxAmount]])</f>
        <v>1207</v>
      </c>
      <c r="AM13" s="3" t="s">
        <v>89</v>
      </c>
    </row>
    <row r="14" spans="2:46" s="11" customFormat="1" x14ac:dyDescent="0.2">
      <c r="B14" s="3" t="s">
        <v>121</v>
      </c>
      <c r="C14" s="3" t="s">
        <v>25</v>
      </c>
      <c r="D14" s="3" t="s">
        <v>14</v>
      </c>
      <c r="E14" s="3">
        <v>3001234510</v>
      </c>
      <c r="F14" s="3" t="s">
        <v>122</v>
      </c>
      <c r="G14" s="3" t="s">
        <v>24</v>
      </c>
      <c r="H14" s="3" t="s">
        <v>11</v>
      </c>
      <c r="I14" s="3">
        <v>74400</v>
      </c>
      <c r="J14" s="3" t="s">
        <v>12</v>
      </c>
      <c r="L14" s="3" t="s">
        <v>52</v>
      </c>
      <c r="M14" s="3" t="s">
        <v>121</v>
      </c>
      <c r="N14" s="7">
        <v>44956</v>
      </c>
      <c r="P14" s="6" t="s">
        <v>202</v>
      </c>
      <c r="Q14" s="6" t="s">
        <v>42</v>
      </c>
      <c r="R14" s="7">
        <v>44956</v>
      </c>
      <c r="S14" s="6" t="s">
        <v>49</v>
      </c>
      <c r="T14" s="7">
        <v>45422</v>
      </c>
      <c r="U14" s="6">
        <v>120</v>
      </c>
      <c r="V14" s="6">
        <v>170</v>
      </c>
      <c r="X14" s="3" t="s">
        <v>248</v>
      </c>
      <c r="Y14" s="3" t="s">
        <v>49</v>
      </c>
      <c r="Z14" s="4">
        <v>45235</v>
      </c>
      <c r="AA14" s="4">
        <v>45250</v>
      </c>
      <c r="AB14" s="5">
        <f>SUM('Utility System'!$V14-'Utility System'!$U14)</f>
        <v>50</v>
      </c>
      <c r="AC14" s="5">
        <f t="shared" si="1"/>
        <v>2100</v>
      </c>
      <c r="AD14" s="5">
        <f t="shared" si="0"/>
        <v>320</v>
      </c>
      <c r="AE14" s="5">
        <f t="shared" si="2"/>
        <v>210</v>
      </c>
      <c r="AF14" s="5">
        <f>SUM(Table12[[#This Row],[EnergyCharges]:[TaxAmount]])</f>
        <v>2630</v>
      </c>
      <c r="AG14" s="3" t="s">
        <v>84</v>
      </c>
      <c r="AI14" s="3" t="s">
        <v>293</v>
      </c>
      <c r="AJ14" s="3" t="s">
        <v>248</v>
      </c>
      <c r="AK14" s="4">
        <v>45250</v>
      </c>
      <c r="AL14" s="5">
        <f>SUM(Table12[[#This Row],[EnergyCharges]:[TaxAmount]])</f>
        <v>2630</v>
      </c>
      <c r="AM14" s="3" t="s">
        <v>90</v>
      </c>
    </row>
    <row r="15" spans="2:46" s="11" customFormat="1" x14ac:dyDescent="0.2">
      <c r="B15" s="3" t="s">
        <v>123</v>
      </c>
      <c r="C15" s="3" t="s">
        <v>34</v>
      </c>
      <c r="D15" s="3" t="s">
        <v>9</v>
      </c>
      <c r="E15" s="3">
        <v>3001234511</v>
      </c>
      <c r="F15" s="3" t="s">
        <v>124</v>
      </c>
      <c r="G15" s="3" t="s">
        <v>125</v>
      </c>
      <c r="H15" s="3" t="s">
        <v>16</v>
      </c>
      <c r="I15" s="3">
        <v>54000</v>
      </c>
      <c r="J15" s="3" t="s">
        <v>12</v>
      </c>
      <c r="L15" s="3" t="s">
        <v>53</v>
      </c>
      <c r="M15" s="3" t="s">
        <v>123</v>
      </c>
      <c r="N15" s="7">
        <v>44958</v>
      </c>
      <c r="P15" s="6" t="s">
        <v>203</v>
      </c>
      <c r="Q15" s="6" t="s">
        <v>45</v>
      </c>
      <c r="R15" s="7">
        <v>44958</v>
      </c>
      <c r="S15" s="6" t="s">
        <v>49</v>
      </c>
      <c r="T15" s="7">
        <v>45424</v>
      </c>
      <c r="U15" s="6">
        <v>60</v>
      </c>
      <c r="V15" s="6">
        <v>100</v>
      </c>
      <c r="X15" s="3" t="s">
        <v>249</v>
      </c>
      <c r="Y15" s="3" t="s">
        <v>49</v>
      </c>
      <c r="Z15" s="4">
        <v>45235</v>
      </c>
      <c r="AA15" s="4">
        <v>45250</v>
      </c>
      <c r="AB15" s="5">
        <f>SUM('Utility System'!$V15-'Utility System'!$U15)</f>
        <v>40</v>
      </c>
      <c r="AC15" s="5">
        <f t="shared" si="1"/>
        <v>560</v>
      </c>
      <c r="AD15" s="5">
        <f t="shared" si="0"/>
        <v>250</v>
      </c>
      <c r="AE15" s="5">
        <f t="shared" si="2"/>
        <v>28</v>
      </c>
      <c r="AF15" s="5">
        <f>SUM(Table12[[#This Row],[EnergyCharges]:[TaxAmount]])</f>
        <v>838</v>
      </c>
      <c r="AG15" s="3" t="s">
        <v>84</v>
      </c>
      <c r="AI15" s="3" t="s">
        <v>294</v>
      </c>
      <c r="AJ15" s="3" t="s">
        <v>249</v>
      </c>
      <c r="AK15" s="4">
        <v>45250</v>
      </c>
      <c r="AL15" s="5">
        <f>SUM(Table12[[#This Row],[EnergyCharges]:[TaxAmount]])</f>
        <v>838</v>
      </c>
      <c r="AM15" s="3" t="s">
        <v>89</v>
      </c>
    </row>
    <row r="16" spans="2:46" s="11" customFormat="1" x14ac:dyDescent="0.2">
      <c r="B16" s="3" t="s">
        <v>126</v>
      </c>
      <c r="C16" s="3" t="s">
        <v>18</v>
      </c>
      <c r="D16" s="3" t="s">
        <v>8</v>
      </c>
      <c r="E16" s="3">
        <v>3001234512</v>
      </c>
      <c r="F16" s="3" t="s">
        <v>127</v>
      </c>
      <c r="G16" s="3" t="s">
        <v>128</v>
      </c>
      <c r="H16" s="3" t="s">
        <v>17</v>
      </c>
      <c r="I16" s="3">
        <v>44000</v>
      </c>
      <c r="J16" s="3" t="s">
        <v>12</v>
      </c>
      <c r="L16" s="3" t="s">
        <v>54</v>
      </c>
      <c r="M16" s="3" t="s">
        <v>126</v>
      </c>
      <c r="N16" s="7">
        <v>44962</v>
      </c>
      <c r="P16" s="6" t="s">
        <v>204</v>
      </c>
      <c r="Q16" s="6" t="s">
        <v>95</v>
      </c>
      <c r="R16" s="7">
        <v>44962</v>
      </c>
      <c r="S16" s="6" t="s">
        <v>49</v>
      </c>
      <c r="T16" s="7">
        <v>45427</v>
      </c>
      <c r="U16" s="6">
        <v>20</v>
      </c>
      <c r="V16" s="6">
        <v>50</v>
      </c>
      <c r="X16" s="3" t="s">
        <v>250</v>
      </c>
      <c r="Y16" s="3" t="s">
        <v>49</v>
      </c>
      <c r="Z16" s="4">
        <v>45235</v>
      </c>
      <c r="AA16" s="4">
        <v>45250</v>
      </c>
      <c r="AB16" s="5">
        <f>SUM('Utility System'!$V16-'Utility System'!$U16)</f>
        <v>30</v>
      </c>
      <c r="AC16" s="5">
        <f t="shared" si="1"/>
        <v>540</v>
      </c>
      <c r="AD16" s="5">
        <f t="shared" si="0"/>
        <v>235</v>
      </c>
      <c r="AE16" s="5">
        <f t="shared" si="2"/>
        <v>43.2</v>
      </c>
      <c r="AF16" s="5">
        <f>SUM(Table12[[#This Row],[EnergyCharges]:[TaxAmount]])</f>
        <v>818.2</v>
      </c>
      <c r="AG16" s="3" t="s">
        <v>84</v>
      </c>
      <c r="AI16" s="3" t="s">
        <v>295</v>
      </c>
      <c r="AJ16" s="3" t="s">
        <v>250</v>
      </c>
      <c r="AK16" s="4">
        <v>45250</v>
      </c>
      <c r="AL16" s="5">
        <f>SUM(Table12[[#This Row],[EnergyCharges]:[TaxAmount]])</f>
        <v>818.2</v>
      </c>
      <c r="AM16" s="3" t="s">
        <v>91</v>
      </c>
    </row>
    <row r="17" spans="2:39" s="11" customFormat="1" x14ac:dyDescent="0.2">
      <c r="B17" s="3" t="s">
        <v>129</v>
      </c>
      <c r="C17" s="3" t="s">
        <v>130</v>
      </c>
      <c r="D17" s="3" t="s">
        <v>19</v>
      </c>
      <c r="E17" s="3">
        <v>3001234513</v>
      </c>
      <c r="F17" s="3" t="s">
        <v>131</v>
      </c>
      <c r="G17" s="3" t="s">
        <v>132</v>
      </c>
      <c r="H17" s="3" t="s">
        <v>11</v>
      </c>
      <c r="I17" s="3">
        <v>74400</v>
      </c>
      <c r="J17" s="3" t="s">
        <v>12</v>
      </c>
      <c r="L17" s="3" t="s">
        <v>55</v>
      </c>
      <c r="M17" s="3" t="s">
        <v>129</v>
      </c>
      <c r="N17" s="7">
        <v>44961</v>
      </c>
      <c r="P17" s="6" t="s">
        <v>205</v>
      </c>
      <c r="Q17" s="6" t="s">
        <v>45</v>
      </c>
      <c r="R17" s="7">
        <v>44961</v>
      </c>
      <c r="S17" s="6" t="s">
        <v>50</v>
      </c>
      <c r="T17" s="7">
        <v>45444</v>
      </c>
      <c r="U17" s="6">
        <v>55</v>
      </c>
      <c r="V17" s="6">
        <v>95</v>
      </c>
      <c r="X17" s="3" t="s">
        <v>251</v>
      </c>
      <c r="Y17" s="3" t="s">
        <v>50</v>
      </c>
      <c r="Z17" s="4">
        <v>45235</v>
      </c>
      <c r="AA17" s="4">
        <v>45250</v>
      </c>
      <c r="AB17" s="5">
        <f>SUM('Utility System'!$V17-'Utility System'!$U17)</f>
        <v>40</v>
      </c>
      <c r="AC17" s="5">
        <f t="shared" si="1"/>
        <v>560</v>
      </c>
      <c r="AD17" s="5">
        <f t="shared" si="0"/>
        <v>250</v>
      </c>
      <c r="AE17" s="5">
        <f t="shared" si="2"/>
        <v>28</v>
      </c>
      <c r="AF17" s="5">
        <f>SUM(Table12[[#This Row],[EnergyCharges]:[TaxAmount]])</f>
        <v>838</v>
      </c>
      <c r="AG17" s="3" t="s">
        <v>83</v>
      </c>
      <c r="AI17" s="3" t="s">
        <v>296</v>
      </c>
      <c r="AJ17" s="3" t="s">
        <v>251</v>
      </c>
      <c r="AK17" s="4">
        <v>45250</v>
      </c>
      <c r="AL17" s="5">
        <f>SUM(Table12[[#This Row],[EnergyCharges]:[TaxAmount]])</f>
        <v>838</v>
      </c>
      <c r="AM17" s="3" t="s">
        <v>89</v>
      </c>
    </row>
    <row r="18" spans="2:39" s="11" customFormat="1" x14ac:dyDescent="0.2">
      <c r="B18" s="3" t="s">
        <v>133</v>
      </c>
      <c r="C18" s="3" t="s">
        <v>22</v>
      </c>
      <c r="D18" s="3" t="s">
        <v>9</v>
      </c>
      <c r="E18" s="3">
        <v>3001234514</v>
      </c>
      <c r="F18" s="3" t="s">
        <v>134</v>
      </c>
      <c r="G18" s="3" t="s">
        <v>135</v>
      </c>
      <c r="H18" s="3" t="s">
        <v>16</v>
      </c>
      <c r="I18" s="3">
        <v>54000</v>
      </c>
      <c r="J18" s="3" t="s">
        <v>12</v>
      </c>
      <c r="L18" s="3" t="s">
        <v>56</v>
      </c>
      <c r="M18" s="3" t="s">
        <v>133</v>
      </c>
      <c r="N18" s="7">
        <v>44966</v>
      </c>
      <c r="P18" s="6" t="s">
        <v>206</v>
      </c>
      <c r="Q18" s="6" t="s">
        <v>95</v>
      </c>
      <c r="R18" s="7">
        <v>44966</v>
      </c>
      <c r="S18" s="6" t="s">
        <v>51</v>
      </c>
      <c r="T18" s="7">
        <v>45448</v>
      </c>
      <c r="U18" s="6">
        <v>35</v>
      </c>
      <c r="V18" s="6">
        <v>80</v>
      </c>
      <c r="X18" s="3" t="s">
        <v>252</v>
      </c>
      <c r="Y18" s="3" t="s">
        <v>51</v>
      </c>
      <c r="Z18" s="4">
        <v>45235</v>
      </c>
      <c r="AA18" s="4">
        <v>45250</v>
      </c>
      <c r="AB18" s="5">
        <f>SUM('Utility System'!$V18-'Utility System'!$U18)</f>
        <v>45</v>
      </c>
      <c r="AC18" s="5">
        <f t="shared" si="1"/>
        <v>810</v>
      </c>
      <c r="AD18" s="5">
        <f t="shared" si="0"/>
        <v>235</v>
      </c>
      <c r="AE18" s="5">
        <f t="shared" si="2"/>
        <v>64.8</v>
      </c>
      <c r="AF18" s="5">
        <f>SUM(Table12[[#This Row],[EnergyCharges]:[TaxAmount]])</f>
        <v>1109.8</v>
      </c>
      <c r="AG18" s="3" t="s">
        <v>84</v>
      </c>
      <c r="AI18" s="3" t="s">
        <v>297</v>
      </c>
      <c r="AJ18" s="3" t="s">
        <v>252</v>
      </c>
      <c r="AK18" s="4">
        <v>45250</v>
      </c>
      <c r="AL18" s="5">
        <f>SUM(Table12[[#This Row],[EnergyCharges]:[TaxAmount]])</f>
        <v>1109.8</v>
      </c>
      <c r="AM18" s="3" t="s">
        <v>90</v>
      </c>
    </row>
    <row r="19" spans="2:39" s="11" customFormat="1" x14ac:dyDescent="0.2">
      <c r="B19" s="3" t="s">
        <v>136</v>
      </c>
      <c r="C19" s="3" t="s">
        <v>137</v>
      </c>
      <c r="D19" s="3" t="s">
        <v>14</v>
      </c>
      <c r="E19" s="3">
        <v>3001234515</v>
      </c>
      <c r="F19" s="3" t="s">
        <v>138</v>
      </c>
      <c r="G19" s="3" t="s">
        <v>139</v>
      </c>
      <c r="H19" s="3" t="s">
        <v>17</v>
      </c>
      <c r="I19" s="3">
        <v>44000</v>
      </c>
      <c r="J19" s="3" t="s">
        <v>12</v>
      </c>
      <c r="L19" s="3" t="s">
        <v>57</v>
      </c>
      <c r="M19" s="3" t="s">
        <v>136</v>
      </c>
      <c r="N19" s="7">
        <v>44971</v>
      </c>
      <c r="P19" s="6" t="s">
        <v>207</v>
      </c>
      <c r="Q19" s="6" t="s">
        <v>42</v>
      </c>
      <c r="R19" s="7">
        <v>44971</v>
      </c>
      <c r="S19" s="6" t="s">
        <v>51</v>
      </c>
      <c r="T19" s="7">
        <v>45453</v>
      </c>
      <c r="U19" s="6">
        <v>60</v>
      </c>
      <c r="V19" s="6">
        <v>115</v>
      </c>
      <c r="X19" s="3" t="s">
        <v>253</v>
      </c>
      <c r="Y19" s="3" t="s">
        <v>51</v>
      </c>
      <c r="Z19" s="4">
        <v>45235</v>
      </c>
      <c r="AA19" s="4">
        <v>45250</v>
      </c>
      <c r="AB19" s="5">
        <f>SUM('Utility System'!$V19-'Utility System'!$U19)</f>
        <v>55</v>
      </c>
      <c r="AC19" s="5">
        <f t="shared" si="1"/>
        <v>2310</v>
      </c>
      <c r="AD19" s="5">
        <f t="shared" si="0"/>
        <v>320</v>
      </c>
      <c r="AE19" s="5">
        <f t="shared" si="2"/>
        <v>231</v>
      </c>
      <c r="AF19" s="5">
        <f>SUM(Table12[[#This Row],[EnergyCharges]:[TaxAmount]])</f>
        <v>2861</v>
      </c>
      <c r="AG19" s="3" t="s">
        <v>84</v>
      </c>
      <c r="AI19" s="3" t="s">
        <v>298</v>
      </c>
      <c r="AJ19" s="3" t="s">
        <v>253</v>
      </c>
      <c r="AK19" s="4">
        <v>45250</v>
      </c>
      <c r="AL19" s="5">
        <f>SUM(Table12[[#This Row],[EnergyCharges]:[TaxAmount]])</f>
        <v>2861</v>
      </c>
      <c r="AM19" s="3" t="s">
        <v>89</v>
      </c>
    </row>
    <row r="20" spans="2:39" s="11" customFormat="1" x14ac:dyDescent="0.2">
      <c r="B20" s="3" t="s">
        <v>140</v>
      </c>
      <c r="C20" s="3" t="s">
        <v>141</v>
      </c>
      <c r="D20" s="3" t="s">
        <v>19</v>
      </c>
      <c r="E20" s="3">
        <v>3001234516</v>
      </c>
      <c r="F20" s="3" t="s">
        <v>142</v>
      </c>
      <c r="G20" s="3" t="s">
        <v>35</v>
      </c>
      <c r="H20" s="3" t="s">
        <v>11</v>
      </c>
      <c r="I20" s="3">
        <v>74400</v>
      </c>
      <c r="J20" s="3" t="s">
        <v>12</v>
      </c>
      <c r="L20" s="3" t="s">
        <v>58</v>
      </c>
      <c r="M20" s="3" t="s">
        <v>140</v>
      </c>
      <c r="N20" s="7">
        <v>44971</v>
      </c>
      <c r="P20" s="6" t="s">
        <v>208</v>
      </c>
      <c r="Q20" s="6" t="s">
        <v>42</v>
      </c>
      <c r="R20" s="7">
        <v>44971</v>
      </c>
      <c r="S20" s="6" t="s">
        <v>52</v>
      </c>
      <c r="T20" s="7">
        <v>45474</v>
      </c>
      <c r="U20" s="6">
        <v>70</v>
      </c>
      <c r="V20" s="6">
        <v>120</v>
      </c>
      <c r="X20" s="3" t="s">
        <v>254</v>
      </c>
      <c r="Y20" s="3" t="s">
        <v>52</v>
      </c>
      <c r="Z20" s="4">
        <v>45235</v>
      </c>
      <c r="AA20" s="4">
        <v>45250</v>
      </c>
      <c r="AB20" s="5">
        <f>SUM('Utility System'!$V20-'Utility System'!$U20)</f>
        <v>50</v>
      </c>
      <c r="AC20" s="5">
        <f t="shared" si="1"/>
        <v>2100</v>
      </c>
      <c r="AD20" s="5">
        <f t="shared" si="0"/>
        <v>320</v>
      </c>
      <c r="AE20" s="5">
        <f t="shared" si="2"/>
        <v>210</v>
      </c>
      <c r="AF20" s="5">
        <f>SUM(Table12[[#This Row],[EnergyCharges]:[TaxAmount]])</f>
        <v>2630</v>
      </c>
      <c r="AG20" s="3" t="s">
        <v>83</v>
      </c>
      <c r="AI20" s="3" t="s">
        <v>299</v>
      </c>
      <c r="AJ20" s="3" t="s">
        <v>254</v>
      </c>
      <c r="AK20" s="4">
        <v>45250</v>
      </c>
      <c r="AL20" s="5">
        <f>SUM(Table12[[#This Row],[EnergyCharges]:[TaxAmount]])</f>
        <v>2630</v>
      </c>
      <c r="AM20" s="3" t="s">
        <v>91</v>
      </c>
    </row>
    <row r="21" spans="2:39" s="11" customFormat="1" x14ac:dyDescent="0.2">
      <c r="B21" s="3" t="s">
        <v>143</v>
      </c>
      <c r="C21" s="3" t="s">
        <v>144</v>
      </c>
      <c r="D21" s="3" t="s">
        <v>8</v>
      </c>
      <c r="E21" s="3">
        <v>3001234517</v>
      </c>
      <c r="F21" s="3" t="s">
        <v>145</v>
      </c>
      <c r="G21" s="3" t="s">
        <v>146</v>
      </c>
      <c r="H21" s="3" t="s">
        <v>16</v>
      </c>
      <c r="I21" s="3">
        <v>54000</v>
      </c>
      <c r="J21" s="3" t="s">
        <v>12</v>
      </c>
      <c r="L21" s="3" t="s">
        <v>59</v>
      </c>
      <c r="M21" s="3" t="s">
        <v>143</v>
      </c>
      <c r="N21" s="7">
        <v>44976</v>
      </c>
      <c r="P21" s="6" t="s">
        <v>209</v>
      </c>
      <c r="Q21" s="6" t="s">
        <v>45</v>
      </c>
      <c r="R21" s="7">
        <v>44976</v>
      </c>
      <c r="S21" s="6" t="s">
        <v>53</v>
      </c>
      <c r="T21" s="7">
        <v>45478</v>
      </c>
      <c r="U21" s="6">
        <v>45</v>
      </c>
      <c r="V21" s="6">
        <v>90</v>
      </c>
      <c r="X21" s="3" t="s">
        <v>255</v>
      </c>
      <c r="Y21" s="3" t="s">
        <v>53</v>
      </c>
      <c r="Z21" s="4">
        <v>45235</v>
      </c>
      <c r="AA21" s="4">
        <v>45250</v>
      </c>
      <c r="AB21" s="5">
        <f>SUM('Utility System'!$V21-'Utility System'!$U21)</f>
        <v>45</v>
      </c>
      <c r="AC21" s="5">
        <f t="shared" si="1"/>
        <v>630</v>
      </c>
      <c r="AD21" s="5">
        <f t="shared" si="0"/>
        <v>250</v>
      </c>
      <c r="AE21" s="5">
        <f t="shared" si="2"/>
        <v>31.5</v>
      </c>
      <c r="AF21" s="5">
        <f>SUM(Table12[[#This Row],[EnergyCharges]:[TaxAmount]])</f>
        <v>911.5</v>
      </c>
      <c r="AG21" s="3" t="s">
        <v>83</v>
      </c>
      <c r="AI21" s="3" t="s">
        <v>300</v>
      </c>
      <c r="AJ21" s="3" t="s">
        <v>255</v>
      </c>
      <c r="AK21" s="4">
        <v>45250</v>
      </c>
      <c r="AL21" s="5">
        <f>SUM(Table12[[#This Row],[EnergyCharges]:[TaxAmount]])</f>
        <v>911.5</v>
      </c>
      <c r="AM21" s="3" t="s">
        <v>89</v>
      </c>
    </row>
    <row r="22" spans="2:39" s="11" customFormat="1" x14ac:dyDescent="0.2">
      <c r="B22" s="3" t="s">
        <v>147</v>
      </c>
      <c r="C22" s="3" t="s">
        <v>148</v>
      </c>
      <c r="D22" s="3" t="s">
        <v>9</v>
      </c>
      <c r="E22" s="3">
        <v>3001234518</v>
      </c>
      <c r="F22" s="3" t="s">
        <v>149</v>
      </c>
      <c r="G22" s="3" t="s">
        <v>150</v>
      </c>
      <c r="H22" s="3" t="s">
        <v>17</v>
      </c>
      <c r="I22" s="3">
        <v>44000</v>
      </c>
      <c r="J22" s="3" t="s">
        <v>12</v>
      </c>
      <c r="L22" s="3" t="s">
        <v>60</v>
      </c>
      <c r="M22" s="3" t="s">
        <v>147</v>
      </c>
      <c r="N22" s="7">
        <v>44981</v>
      </c>
      <c r="P22" s="6" t="s">
        <v>210</v>
      </c>
      <c r="Q22" s="6" t="s">
        <v>95</v>
      </c>
      <c r="R22" s="7">
        <v>44981</v>
      </c>
      <c r="S22" s="6" t="s">
        <v>54</v>
      </c>
      <c r="T22" s="7">
        <v>45483</v>
      </c>
      <c r="U22" s="6">
        <v>30</v>
      </c>
      <c r="V22" s="6">
        <v>70</v>
      </c>
      <c r="X22" s="3" t="s">
        <v>256</v>
      </c>
      <c r="Y22" s="3" t="s">
        <v>54</v>
      </c>
      <c r="Z22" s="4">
        <v>45235</v>
      </c>
      <c r="AA22" s="4">
        <v>45250</v>
      </c>
      <c r="AB22" s="5">
        <f>SUM('Utility System'!$V22-'Utility System'!$U22)</f>
        <v>40</v>
      </c>
      <c r="AC22" s="5">
        <f t="shared" si="1"/>
        <v>720</v>
      </c>
      <c r="AD22" s="5">
        <f t="shared" si="0"/>
        <v>235</v>
      </c>
      <c r="AE22" s="5">
        <f t="shared" si="2"/>
        <v>57.6</v>
      </c>
      <c r="AF22" s="5">
        <f>SUM(Table12[[#This Row],[EnergyCharges]:[TaxAmount]])</f>
        <v>1012.6</v>
      </c>
      <c r="AG22" s="3" t="s">
        <v>84</v>
      </c>
      <c r="AI22" s="3" t="s">
        <v>301</v>
      </c>
      <c r="AJ22" s="3" t="s">
        <v>256</v>
      </c>
      <c r="AK22" s="4">
        <v>45250</v>
      </c>
      <c r="AL22" s="5">
        <f>SUM(Table12[[#This Row],[EnergyCharges]:[TaxAmount]])</f>
        <v>1012.6</v>
      </c>
      <c r="AM22" s="3" t="s">
        <v>90</v>
      </c>
    </row>
    <row r="23" spans="2:39" s="11" customFormat="1" x14ac:dyDescent="0.2">
      <c r="B23" s="3" t="s">
        <v>151</v>
      </c>
      <c r="C23" s="3" t="s">
        <v>31</v>
      </c>
      <c r="D23" s="3" t="s">
        <v>14</v>
      </c>
      <c r="E23" s="3">
        <v>3001234519</v>
      </c>
      <c r="F23" s="3" t="s">
        <v>152</v>
      </c>
      <c r="G23" s="3" t="s">
        <v>153</v>
      </c>
      <c r="H23" s="3" t="s">
        <v>11</v>
      </c>
      <c r="I23" s="3">
        <v>74400</v>
      </c>
      <c r="J23" s="3" t="s">
        <v>12</v>
      </c>
      <c r="L23" s="3" t="s">
        <v>61</v>
      </c>
      <c r="M23" s="3" t="s">
        <v>151</v>
      </c>
      <c r="N23" s="7">
        <v>44986</v>
      </c>
      <c r="P23" s="6" t="s">
        <v>211</v>
      </c>
      <c r="Q23" s="6" t="s">
        <v>42</v>
      </c>
      <c r="R23" s="7">
        <v>44986</v>
      </c>
      <c r="S23" s="6" t="s">
        <v>55</v>
      </c>
      <c r="T23" s="7">
        <v>45505</v>
      </c>
      <c r="U23" s="6">
        <v>80</v>
      </c>
      <c r="V23" s="6">
        <v>130</v>
      </c>
      <c r="X23" s="3" t="s">
        <v>257</v>
      </c>
      <c r="Y23" s="3" t="s">
        <v>55</v>
      </c>
      <c r="Z23" s="4">
        <v>45235</v>
      </c>
      <c r="AA23" s="4">
        <v>45250</v>
      </c>
      <c r="AB23" s="5">
        <f>SUM('Utility System'!$V23-'Utility System'!$U23)</f>
        <v>50</v>
      </c>
      <c r="AC23" s="5">
        <f t="shared" si="1"/>
        <v>2100</v>
      </c>
      <c r="AD23" s="5">
        <f t="shared" si="0"/>
        <v>320</v>
      </c>
      <c r="AE23" s="5">
        <f t="shared" si="2"/>
        <v>210</v>
      </c>
      <c r="AF23" s="5">
        <f>SUM(Table12[[#This Row],[EnergyCharges]:[TaxAmount]])</f>
        <v>2630</v>
      </c>
      <c r="AG23" s="3" t="s">
        <v>84</v>
      </c>
      <c r="AI23" s="3" t="s">
        <v>302</v>
      </c>
      <c r="AJ23" s="3" t="s">
        <v>257</v>
      </c>
      <c r="AK23" s="4">
        <v>45250</v>
      </c>
      <c r="AL23" s="5">
        <f>SUM(Table12[[#This Row],[EnergyCharges]:[TaxAmount]])</f>
        <v>2630</v>
      </c>
      <c r="AM23" s="3" t="s">
        <v>89</v>
      </c>
    </row>
    <row r="24" spans="2:39" s="11" customFormat="1" x14ac:dyDescent="0.2">
      <c r="B24" s="3" t="s">
        <v>154</v>
      </c>
      <c r="C24" s="3" t="s">
        <v>155</v>
      </c>
      <c r="D24" s="3" t="s">
        <v>19</v>
      </c>
      <c r="E24" s="3">
        <v>3001234520</v>
      </c>
      <c r="F24" s="3" t="s">
        <v>156</v>
      </c>
      <c r="G24" s="3" t="s">
        <v>157</v>
      </c>
      <c r="H24" s="3" t="s">
        <v>16</v>
      </c>
      <c r="I24" s="3">
        <v>54000</v>
      </c>
      <c r="J24" s="3" t="s">
        <v>12</v>
      </c>
      <c r="L24" s="3" t="s">
        <v>62</v>
      </c>
      <c r="M24" s="3" t="s">
        <v>154</v>
      </c>
      <c r="N24" s="7">
        <v>44988</v>
      </c>
      <c r="P24" s="6" t="s">
        <v>212</v>
      </c>
      <c r="Q24" s="6" t="s">
        <v>45</v>
      </c>
      <c r="R24" s="7">
        <v>44988</v>
      </c>
      <c r="S24" s="6" t="s">
        <v>55</v>
      </c>
      <c r="T24" s="7">
        <v>45507</v>
      </c>
      <c r="U24" s="6">
        <v>40</v>
      </c>
      <c r="V24" s="6">
        <v>85</v>
      </c>
      <c r="X24" s="3" t="s">
        <v>258</v>
      </c>
      <c r="Y24" s="3" t="s">
        <v>55</v>
      </c>
      <c r="Z24" s="4">
        <v>45235</v>
      </c>
      <c r="AA24" s="4">
        <v>45250</v>
      </c>
      <c r="AB24" s="5">
        <f>SUM('Utility System'!$V24-'Utility System'!$U24)</f>
        <v>45</v>
      </c>
      <c r="AC24" s="5">
        <f t="shared" si="1"/>
        <v>630</v>
      </c>
      <c r="AD24" s="5">
        <f t="shared" si="0"/>
        <v>250</v>
      </c>
      <c r="AE24" s="5">
        <f t="shared" si="2"/>
        <v>31.5</v>
      </c>
      <c r="AF24" s="5">
        <f>SUM(Table12[[#This Row],[EnergyCharges]:[TaxAmount]])</f>
        <v>911.5</v>
      </c>
      <c r="AG24" s="3" t="s">
        <v>83</v>
      </c>
      <c r="AI24" s="3" t="s">
        <v>303</v>
      </c>
      <c r="AJ24" s="3" t="s">
        <v>258</v>
      </c>
      <c r="AK24" s="4">
        <v>45250</v>
      </c>
      <c r="AL24" s="5">
        <f>SUM(Table12[[#This Row],[EnergyCharges]:[TaxAmount]])</f>
        <v>911.5</v>
      </c>
      <c r="AM24" s="3" t="s">
        <v>91</v>
      </c>
    </row>
    <row r="25" spans="2:39" s="11" customFormat="1" x14ac:dyDescent="0.2">
      <c r="B25" s="3" t="s">
        <v>158</v>
      </c>
      <c r="C25" s="3" t="s">
        <v>159</v>
      </c>
      <c r="D25" s="3" t="s">
        <v>9</v>
      </c>
      <c r="E25" s="3">
        <v>3001234521</v>
      </c>
      <c r="F25" s="3" t="s">
        <v>160</v>
      </c>
      <c r="G25" s="3" t="s">
        <v>161</v>
      </c>
      <c r="H25" s="3" t="s">
        <v>17</v>
      </c>
      <c r="I25" s="3">
        <v>44000</v>
      </c>
      <c r="J25" s="3" t="s">
        <v>12</v>
      </c>
      <c r="L25" s="3" t="s">
        <v>63</v>
      </c>
      <c r="M25" s="3" t="s">
        <v>158</v>
      </c>
      <c r="N25" s="7">
        <v>44991</v>
      </c>
      <c r="P25" s="6" t="s">
        <v>213</v>
      </c>
      <c r="Q25" s="6" t="s">
        <v>45</v>
      </c>
      <c r="R25" s="7">
        <v>44991</v>
      </c>
      <c r="S25" s="6" t="s">
        <v>56</v>
      </c>
      <c r="T25" s="7">
        <v>45509</v>
      </c>
      <c r="U25" s="6">
        <v>60</v>
      </c>
      <c r="V25" s="6">
        <v>105</v>
      </c>
      <c r="X25" s="3" t="s">
        <v>259</v>
      </c>
      <c r="Y25" s="3" t="s">
        <v>56</v>
      </c>
      <c r="Z25" s="4">
        <v>45235</v>
      </c>
      <c r="AA25" s="4">
        <v>45250</v>
      </c>
      <c r="AB25" s="5">
        <f>SUM('Utility System'!$V25-'Utility System'!$U25)</f>
        <v>45</v>
      </c>
      <c r="AC25" s="5">
        <f t="shared" si="1"/>
        <v>630</v>
      </c>
      <c r="AD25" s="5">
        <f t="shared" si="0"/>
        <v>250</v>
      </c>
      <c r="AE25" s="5">
        <f t="shared" si="2"/>
        <v>31.5</v>
      </c>
      <c r="AF25" s="5">
        <f>SUM(Table12[[#This Row],[EnergyCharges]:[TaxAmount]])</f>
        <v>911.5</v>
      </c>
      <c r="AG25" s="3" t="s">
        <v>84</v>
      </c>
      <c r="AI25" s="3" t="s">
        <v>304</v>
      </c>
      <c r="AJ25" s="3" t="s">
        <v>259</v>
      </c>
      <c r="AK25" s="4">
        <v>45250</v>
      </c>
      <c r="AL25" s="5">
        <f>SUM(Table12[[#This Row],[EnergyCharges]:[TaxAmount]])</f>
        <v>911.5</v>
      </c>
      <c r="AM25" s="3" t="s">
        <v>89</v>
      </c>
    </row>
    <row r="26" spans="2:39" s="11" customFormat="1" x14ac:dyDescent="0.2">
      <c r="B26" s="3" t="s">
        <v>162</v>
      </c>
      <c r="C26" s="3" t="s">
        <v>163</v>
      </c>
      <c r="D26" s="3" t="s">
        <v>8</v>
      </c>
      <c r="E26" s="3">
        <v>3001234522</v>
      </c>
      <c r="F26" s="3" t="s">
        <v>164</v>
      </c>
      <c r="G26" s="3" t="s">
        <v>165</v>
      </c>
      <c r="H26" s="3" t="s">
        <v>11</v>
      </c>
      <c r="I26" s="3">
        <v>74400</v>
      </c>
      <c r="J26" s="3" t="s">
        <v>12</v>
      </c>
      <c r="L26" s="3" t="s">
        <v>64</v>
      </c>
      <c r="M26" s="3" t="s">
        <v>162</v>
      </c>
      <c r="N26" s="7">
        <v>44996</v>
      </c>
      <c r="P26" s="6" t="s">
        <v>214</v>
      </c>
      <c r="Q26" s="6" t="s">
        <v>95</v>
      </c>
      <c r="R26" s="7">
        <v>44996</v>
      </c>
      <c r="S26" s="6" t="s">
        <v>57</v>
      </c>
      <c r="T26" s="7">
        <v>45536</v>
      </c>
      <c r="U26" s="6">
        <v>50</v>
      </c>
      <c r="V26" s="6">
        <v>95</v>
      </c>
      <c r="X26" s="3" t="s">
        <v>260</v>
      </c>
      <c r="Y26" s="3" t="s">
        <v>57</v>
      </c>
      <c r="Z26" s="4">
        <v>45235</v>
      </c>
      <c r="AA26" s="4">
        <v>45250</v>
      </c>
      <c r="AB26" s="5">
        <f>SUM('Utility System'!$V26-'Utility System'!$U26)</f>
        <v>45</v>
      </c>
      <c r="AC26" s="5">
        <f t="shared" si="1"/>
        <v>810</v>
      </c>
      <c r="AD26" s="5">
        <f t="shared" si="0"/>
        <v>235</v>
      </c>
      <c r="AE26" s="5">
        <f t="shared" si="2"/>
        <v>64.8</v>
      </c>
      <c r="AF26" s="5">
        <f>SUM(Table12[[#This Row],[EnergyCharges]:[TaxAmount]])</f>
        <v>1109.8</v>
      </c>
      <c r="AG26" s="3" t="s">
        <v>84</v>
      </c>
      <c r="AI26" s="3" t="s">
        <v>305</v>
      </c>
      <c r="AJ26" s="3" t="s">
        <v>260</v>
      </c>
      <c r="AK26" s="4">
        <v>45250</v>
      </c>
      <c r="AL26" s="5">
        <f>SUM(Table12[[#This Row],[EnergyCharges]:[TaxAmount]])</f>
        <v>1109.8</v>
      </c>
      <c r="AM26" s="3" t="s">
        <v>90</v>
      </c>
    </row>
    <row r="27" spans="2:39" s="11" customFormat="1" x14ac:dyDescent="0.2">
      <c r="B27" s="3" t="s">
        <v>166</v>
      </c>
      <c r="C27" s="3" t="s">
        <v>167</v>
      </c>
      <c r="D27" s="3" t="s">
        <v>19</v>
      </c>
      <c r="E27" s="3">
        <v>3001234523</v>
      </c>
      <c r="F27" s="3" t="s">
        <v>168</v>
      </c>
      <c r="G27" s="3" t="s">
        <v>169</v>
      </c>
      <c r="H27" s="3" t="s">
        <v>16</v>
      </c>
      <c r="I27" s="3">
        <v>54000</v>
      </c>
      <c r="J27" s="3" t="s">
        <v>12</v>
      </c>
      <c r="L27" s="3" t="s">
        <v>65</v>
      </c>
      <c r="M27" s="3" t="s">
        <v>166</v>
      </c>
      <c r="N27" s="7">
        <v>45001</v>
      </c>
      <c r="P27" s="6" t="s">
        <v>215</v>
      </c>
      <c r="Q27" s="6" t="s">
        <v>42</v>
      </c>
      <c r="R27" s="7">
        <v>45001</v>
      </c>
      <c r="S27" s="6" t="s">
        <v>58</v>
      </c>
      <c r="T27" s="7">
        <v>45540</v>
      </c>
      <c r="U27" s="6">
        <v>90</v>
      </c>
      <c r="V27" s="6">
        <v>145</v>
      </c>
      <c r="X27" s="3" t="s">
        <v>261</v>
      </c>
      <c r="Y27" s="3" t="s">
        <v>58</v>
      </c>
      <c r="Z27" s="4">
        <v>45235</v>
      </c>
      <c r="AA27" s="4">
        <v>45250</v>
      </c>
      <c r="AB27" s="5">
        <f>SUM('Utility System'!$V27-'Utility System'!$U27)</f>
        <v>55</v>
      </c>
      <c r="AC27" s="5">
        <f t="shared" si="1"/>
        <v>2310</v>
      </c>
      <c r="AD27" s="5">
        <f t="shared" si="0"/>
        <v>320</v>
      </c>
      <c r="AE27" s="5">
        <f t="shared" si="2"/>
        <v>231</v>
      </c>
      <c r="AF27" s="5">
        <f>SUM(Table12[[#This Row],[EnergyCharges]:[TaxAmount]])</f>
        <v>2861</v>
      </c>
      <c r="AG27" s="3" t="s">
        <v>84</v>
      </c>
      <c r="AI27" s="3" t="s">
        <v>306</v>
      </c>
      <c r="AJ27" s="3" t="s">
        <v>261</v>
      </c>
      <c r="AK27" s="4">
        <v>45250</v>
      </c>
      <c r="AL27" s="5">
        <f>SUM(Table12[[#This Row],[EnergyCharges]:[TaxAmount]])</f>
        <v>2861</v>
      </c>
      <c r="AM27" s="3" t="s">
        <v>89</v>
      </c>
    </row>
    <row r="28" spans="2:39" s="11" customFormat="1" x14ac:dyDescent="0.2">
      <c r="B28" s="3" t="s">
        <v>170</v>
      </c>
      <c r="C28" s="3" t="s">
        <v>171</v>
      </c>
      <c r="D28" s="3" t="s">
        <v>14</v>
      </c>
      <c r="E28" s="3">
        <v>3001234524</v>
      </c>
      <c r="F28" s="3" t="s">
        <v>172</v>
      </c>
      <c r="G28" s="3" t="s">
        <v>173</v>
      </c>
      <c r="H28" s="3" t="s">
        <v>17</v>
      </c>
      <c r="I28" s="3">
        <v>44000</v>
      </c>
      <c r="J28" s="3" t="s">
        <v>12</v>
      </c>
      <c r="L28" s="3" t="s">
        <v>66</v>
      </c>
      <c r="M28" s="3" t="s">
        <v>170</v>
      </c>
      <c r="N28" s="7">
        <v>45006</v>
      </c>
      <c r="P28" s="6" t="s">
        <v>216</v>
      </c>
      <c r="Q28" s="6" t="s">
        <v>95</v>
      </c>
      <c r="R28" s="7">
        <v>45006</v>
      </c>
      <c r="S28" s="6" t="s">
        <v>58</v>
      </c>
      <c r="T28" s="7">
        <v>45545</v>
      </c>
      <c r="U28" s="6">
        <v>30</v>
      </c>
      <c r="V28" s="6">
        <v>75</v>
      </c>
      <c r="X28" s="3" t="s">
        <v>262</v>
      </c>
      <c r="Y28" s="3" t="s">
        <v>58</v>
      </c>
      <c r="Z28" s="4">
        <v>45235</v>
      </c>
      <c r="AA28" s="4">
        <v>45250</v>
      </c>
      <c r="AB28" s="5">
        <f>SUM('Utility System'!$V28-'Utility System'!$U28)</f>
        <v>45</v>
      </c>
      <c r="AC28" s="5">
        <f t="shared" si="1"/>
        <v>810</v>
      </c>
      <c r="AD28" s="5">
        <f t="shared" si="0"/>
        <v>235</v>
      </c>
      <c r="AE28" s="5">
        <f t="shared" si="2"/>
        <v>64.8</v>
      </c>
      <c r="AF28" s="5">
        <f>SUM(Table12[[#This Row],[EnergyCharges]:[TaxAmount]])</f>
        <v>1109.8</v>
      </c>
      <c r="AG28" s="3" t="s">
        <v>84</v>
      </c>
      <c r="AI28" s="3" t="s">
        <v>307</v>
      </c>
      <c r="AJ28" s="3" t="s">
        <v>262</v>
      </c>
      <c r="AK28" s="4">
        <v>45250</v>
      </c>
      <c r="AL28" s="5">
        <f>SUM(Table12[[#This Row],[EnergyCharges]:[TaxAmount]])</f>
        <v>1109.8</v>
      </c>
      <c r="AM28" s="3" t="s">
        <v>91</v>
      </c>
    </row>
    <row r="29" spans="2:39" s="11" customFormat="1" x14ac:dyDescent="0.2">
      <c r="B29" s="3" t="s">
        <v>174</v>
      </c>
      <c r="C29" s="3" t="s">
        <v>175</v>
      </c>
      <c r="D29" s="3" t="s">
        <v>9</v>
      </c>
      <c r="E29" s="3">
        <v>3001234525</v>
      </c>
      <c r="F29" s="3" t="s">
        <v>176</v>
      </c>
      <c r="G29" s="3" t="s">
        <v>177</v>
      </c>
      <c r="H29" s="3" t="s">
        <v>11</v>
      </c>
      <c r="I29" s="3">
        <v>74400</v>
      </c>
      <c r="J29" s="3" t="s">
        <v>12</v>
      </c>
      <c r="L29" s="3" t="s">
        <v>67</v>
      </c>
      <c r="M29" s="3" t="s">
        <v>174</v>
      </c>
      <c r="N29" s="7">
        <v>45006</v>
      </c>
      <c r="P29" s="6" t="s">
        <v>217</v>
      </c>
      <c r="Q29" s="6" t="s">
        <v>45</v>
      </c>
      <c r="R29" s="7">
        <v>45006</v>
      </c>
      <c r="S29" s="6" t="s">
        <v>59</v>
      </c>
      <c r="T29" s="7">
        <v>45566</v>
      </c>
      <c r="U29" s="6">
        <v>40</v>
      </c>
      <c r="V29" s="6">
        <v>85</v>
      </c>
      <c r="X29" s="3" t="s">
        <v>263</v>
      </c>
      <c r="Y29" s="3" t="s">
        <v>59</v>
      </c>
      <c r="Z29" s="4">
        <v>45235</v>
      </c>
      <c r="AA29" s="4">
        <v>45250</v>
      </c>
      <c r="AB29" s="5">
        <f>SUM('Utility System'!$V29-'Utility System'!$U29)</f>
        <v>45</v>
      </c>
      <c r="AC29" s="5">
        <f t="shared" si="1"/>
        <v>630</v>
      </c>
      <c r="AD29" s="5">
        <f t="shared" si="0"/>
        <v>250</v>
      </c>
      <c r="AE29" s="5">
        <f t="shared" si="2"/>
        <v>31.5</v>
      </c>
      <c r="AF29" s="5">
        <f>SUM(Table12[[#This Row],[EnergyCharges]:[TaxAmount]])</f>
        <v>911.5</v>
      </c>
      <c r="AG29" s="3" t="s">
        <v>83</v>
      </c>
      <c r="AI29" s="3" t="s">
        <v>308</v>
      </c>
      <c r="AJ29" s="3" t="s">
        <v>263</v>
      </c>
      <c r="AK29" s="4">
        <v>45250</v>
      </c>
      <c r="AL29" s="5">
        <f>SUM(Table12[[#This Row],[EnergyCharges]:[TaxAmount]])</f>
        <v>911.5</v>
      </c>
      <c r="AM29" s="3" t="s">
        <v>89</v>
      </c>
    </row>
    <row r="30" spans="2:39" s="11" customFormat="1" x14ac:dyDescent="0.2">
      <c r="B30" s="3" t="s">
        <v>178</v>
      </c>
      <c r="C30" s="3" t="s">
        <v>179</v>
      </c>
      <c r="D30" s="3" t="s">
        <v>19</v>
      </c>
      <c r="E30" s="3">
        <v>3001234526</v>
      </c>
      <c r="F30" s="3" t="s">
        <v>180</v>
      </c>
      <c r="G30" s="3" t="s">
        <v>181</v>
      </c>
      <c r="H30" s="3" t="s">
        <v>16</v>
      </c>
      <c r="I30" s="3">
        <v>54000</v>
      </c>
      <c r="J30" s="3" t="s">
        <v>12</v>
      </c>
      <c r="L30" s="3" t="s">
        <v>68</v>
      </c>
      <c r="M30" s="3" t="s">
        <v>178</v>
      </c>
      <c r="N30" s="7">
        <v>45011</v>
      </c>
      <c r="P30" s="6" t="s">
        <v>218</v>
      </c>
      <c r="Q30" s="6" t="s">
        <v>42</v>
      </c>
      <c r="R30" s="7">
        <v>45011</v>
      </c>
      <c r="S30" s="6" t="s">
        <v>59</v>
      </c>
      <c r="T30" s="7">
        <v>45570</v>
      </c>
      <c r="U30" s="6">
        <v>70</v>
      </c>
      <c r="V30" s="6">
        <v>120</v>
      </c>
      <c r="X30" s="3" t="s">
        <v>264</v>
      </c>
      <c r="Y30" s="3" t="s">
        <v>59</v>
      </c>
      <c r="Z30" s="4">
        <v>45235</v>
      </c>
      <c r="AA30" s="4">
        <v>45250</v>
      </c>
      <c r="AB30" s="5">
        <f>SUM('Utility System'!$V30-'Utility System'!$U30)</f>
        <v>50</v>
      </c>
      <c r="AC30" s="5">
        <f t="shared" si="1"/>
        <v>2100</v>
      </c>
      <c r="AD30" s="5">
        <f t="shared" si="0"/>
        <v>320</v>
      </c>
      <c r="AE30" s="5">
        <f t="shared" si="2"/>
        <v>210</v>
      </c>
      <c r="AF30" s="5">
        <f>SUM(Table12[[#This Row],[EnergyCharges]:[TaxAmount]])</f>
        <v>2630</v>
      </c>
      <c r="AG30" s="3" t="s">
        <v>83</v>
      </c>
      <c r="AI30" s="3" t="s">
        <v>309</v>
      </c>
      <c r="AJ30" s="3" t="s">
        <v>264</v>
      </c>
      <c r="AK30" s="4">
        <v>45250</v>
      </c>
      <c r="AL30" s="5">
        <f>SUM(Table12[[#This Row],[EnergyCharges]:[TaxAmount]])</f>
        <v>2630</v>
      </c>
      <c r="AM30" s="3" t="s">
        <v>90</v>
      </c>
    </row>
    <row r="31" spans="2:39" s="11" customFormat="1" x14ac:dyDescent="0.2">
      <c r="B31" s="3" t="s">
        <v>182</v>
      </c>
      <c r="C31" s="3" t="s">
        <v>183</v>
      </c>
      <c r="D31" s="3" t="s">
        <v>8</v>
      </c>
      <c r="E31" s="3">
        <v>3001234527</v>
      </c>
      <c r="F31" s="3" t="s">
        <v>184</v>
      </c>
      <c r="G31" s="3" t="s">
        <v>185</v>
      </c>
      <c r="H31" s="3" t="s">
        <v>17</v>
      </c>
      <c r="I31" s="3">
        <v>44000</v>
      </c>
      <c r="J31" s="3" t="s">
        <v>12</v>
      </c>
      <c r="L31" s="3" t="s">
        <v>69</v>
      </c>
      <c r="M31" s="3" t="s">
        <v>182</v>
      </c>
      <c r="N31" s="7">
        <v>45011</v>
      </c>
      <c r="P31" s="6" t="s">
        <v>219</v>
      </c>
      <c r="Q31" s="6" t="s">
        <v>95</v>
      </c>
      <c r="R31" s="7">
        <v>45011</v>
      </c>
      <c r="S31" s="6" t="s">
        <v>60</v>
      </c>
      <c r="T31" s="7">
        <v>45575</v>
      </c>
      <c r="U31" s="6">
        <v>20</v>
      </c>
      <c r="V31" s="6">
        <v>60</v>
      </c>
      <c r="X31" s="3" t="s">
        <v>265</v>
      </c>
      <c r="Y31" s="3" t="s">
        <v>60</v>
      </c>
      <c r="Z31" s="4">
        <v>45235</v>
      </c>
      <c r="AA31" s="4">
        <v>45250</v>
      </c>
      <c r="AB31" s="5">
        <f>SUM('Utility System'!$V31-'Utility System'!$U31)</f>
        <v>40</v>
      </c>
      <c r="AC31" s="5">
        <f t="shared" si="1"/>
        <v>720</v>
      </c>
      <c r="AD31" s="5">
        <f t="shared" si="0"/>
        <v>235</v>
      </c>
      <c r="AE31" s="5">
        <f t="shared" si="2"/>
        <v>57.6</v>
      </c>
      <c r="AF31" s="5">
        <f>SUM(Table12[[#This Row],[EnergyCharges]:[TaxAmount]])</f>
        <v>1012.6</v>
      </c>
      <c r="AG31" s="3" t="s">
        <v>84</v>
      </c>
      <c r="AI31" s="3" t="s">
        <v>310</v>
      </c>
      <c r="AJ31" s="3" t="s">
        <v>265</v>
      </c>
      <c r="AK31" s="4">
        <v>45250</v>
      </c>
      <c r="AL31" s="5">
        <f>SUM(Table12[[#This Row],[EnergyCharges]:[TaxAmount]])</f>
        <v>1012.6</v>
      </c>
      <c r="AM31" s="3" t="s">
        <v>89</v>
      </c>
    </row>
    <row r="32" spans="2:39" s="11" customFormat="1" x14ac:dyDescent="0.2">
      <c r="B32" s="3" t="s">
        <v>186</v>
      </c>
      <c r="C32" s="3" t="s">
        <v>33</v>
      </c>
      <c r="D32" s="3" t="s">
        <v>9</v>
      </c>
      <c r="E32" s="3">
        <v>3001234528</v>
      </c>
      <c r="F32" s="3" t="s">
        <v>187</v>
      </c>
      <c r="G32" s="3" t="s">
        <v>29</v>
      </c>
      <c r="H32" s="3" t="s">
        <v>11</v>
      </c>
      <c r="I32" s="3">
        <v>74400</v>
      </c>
      <c r="J32" s="3" t="s">
        <v>12</v>
      </c>
      <c r="L32" s="3" t="s">
        <v>70</v>
      </c>
      <c r="M32" s="3" t="s">
        <v>186</v>
      </c>
      <c r="N32" s="7">
        <v>45016</v>
      </c>
      <c r="P32" s="6" t="s">
        <v>220</v>
      </c>
      <c r="Q32" s="6" t="s">
        <v>42</v>
      </c>
      <c r="R32" s="7">
        <v>45016</v>
      </c>
      <c r="S32" s="6" t="s">
        <v>61</v>
      </c>
      <c r="T32" s="7">
        <v>45597</v>
      </c>
      <c r="U32" s="6">
        <v>100</v>
      </c>
      <c r="V32" s="6">
        <v>150</v>
      </c>
      <c r="X32" s="3" t="s">
        <v>266</v>
      </c>
      <c r="Y32" s="3" t="s">
        <v>61</v>
      </c>
      <c r="Z32" s="4">
        <v>45235</v>
      </c>
      <c r="AA32" s="4">
        <v>45250</v>
      </c>
      <c r="AB32" s="5">
        <f>SUM('Utility System'!$V32-'Utility System'!$U32)</f>
        <v>50</v>
      </c>
      <c r="AC32" s="5">
        <f t="shared" si="1"/>
        <v>2100</v>
      </c>
      <c r="AD32" s="5">
        <f t="shared" si="0"/>
        <v>320</v>
      </c>
      <c r="AE32" s="5">
        <f t="shared" si="2"/>
        <v>210</v>
      </c>
      <c r="AF32" s="5">
        <f>SUM(Table12[[#This Row],[EnergyCharges]:[TaxAmount]])</f>
        <v>2630</v>
      </c>
      <c r="AG32" s="3" t="s">
        <v>84</v>
      </c>
      <c r="AI32" s="3" t="s">
        <v>311</v>
      </c>
      <c r="AJ32" s="3" t="s">
        <v>266</v>
      </c>
      <c r="AK32" s="4">
        <v>45250</v>
      </c>
      <c r="AL32" s="5">
        <f>SUM(Table12[[#This Row],[EnergyCharges]:[TaxAmount]])</f>
        <v>2630</v>
      </c>
      <c r="AM32" s="3" t="s">
        <v>91</v>
      </c>
    </row>
    <row r="33" spans="2:39" s="11" customFormat="1" x14ac:dyDescent="0.2">
      <c r="B33" s="3" t="s">
        <v>188</v>
      </c>
      <c r="C33" s="3" t="s">
        <v>32</v>
      </c>
      <c r="D33" s="3" t="s">
        <v>14</v>
      </c>
      <c r="E33" s="3">
        <v>3001234529</v>
      </c>
      <c r="F33" s="3" t="s">
        <v>189</v>
      </c>
      <c r="G33" s="3" t="s">
        <v>190</v>
      </c>
      <c r="H33" s="3" t="s">
        <v>16</v>
      </c>
      <c r="I33" s="3">
        <v>54000</v>
      </c>
      <c r="J33" s="3" t="s">
        <v>12</v>
      </c>
      <c r="L33" s="3" t="s">
        <v>71</v>
      </c>
      <c r="M33" s="3" t="s">
        <v>188</v>
      </c>
      <c r="N33" s="7">
        <v>45018</v>
      </c>
      <c r="P33" s="6" t="s">
        <v>221</v>
      </c>
      <c r="Q33" s="6" t="s">
        <v>45</v>
      </c>
      <c r="R33" s="7">
        <v>45018</v>
      </c>
      <c r="S33" s="6" t="s">
        <v>61</v>
      </c>
      <c r="T33" s="7">
        <v>45601</v>
      </c>
      <c r="U33" s="6">
        <v>60</v>
      </c>
      <c r="V33" s="6">
        <v>110</v>
      </c>
      <c r="X33" s="3" t="s">
        <v>267</v>
      </c>
      <c r="Y33" s="3" t="s">
        <v>61</v>
      </c>
      <c r="Z33" s="4">
        <v>45235</v>
      </c>
      <c r="AA33" s="4">
        <v>45250</v>
      </c>
      <c r="AB33" s="5">
        <f>SUM('Utility System'!$V33-'Utility System'!$U33)</f>
        <v>50</v>
      </c>
      <c r="AC33" s="5">
        <f t="shared" si="1"/>
        <v>700</v>
      </c>
      <c r="AD33" s="5">
        <f t="shared" si="0"/>
        <v>250</v>
      </c>
      <c r="AE33" s="5">
        <f t="shared" si="2"/>
        <v>35</v>
      </c>
      <c r="AF33" s="5">
        <f>SUM(Table12[[#This Row],[EnergyCharges]:[TaxAmount]])</f>
        <v>985</v>
      </c>
      <c r="AG33" s="3" t="s">
        <v>84</v>
      </c>
      <c r="AI33" s="3" t="s">
        <v>312</v>
      </c>
      <c r="AJ33" s="3" t="s">
        <v>267</v>
      </c>
      <c r="AK33" s="4">
        <v>45250</v>
      </c>
      <c r="AL33" s="5">
        <f>SUM(Table12[[#This Row],[EnergyCharges]:[TaxAmount]])</f>
        <v>985</v>
      </c>
      <c r="AM33" s="3" t="s">
        <v>89</v>
      </c>
    </row>
    <row r="34" spans="2:39" s="11" customFormat="1" x14ac:dyDescent="0.2">
      <c r="B34" s="3" t="s">
        <v>191</v>
      </c>
      <c r="C34" s="3" t="s">
        <v>36</v>
      </c>
      <c r="D34" s="3" t="s">
        <v>26</v>
      </c>
      <c r="E34" s="3">
        <v>3001234530</v>
      </c>
      <c r="F34" s="3" t="s">
        <v>192</v>
      </c>
      <c r="G34" s="3" t="s">
        <v>37</v>
      </c>
      <c r="H34" s="3" t="s">
        <v>17</v>
      </c>
      <c r="I34" s="3">
        <v>44000</v>
      </c>
      <c r="J34" s="3" t="s">
        <v>12</v>
      </c>
      <c r="L34" s="3" t="s">
        <v>72</v>
      </c>
      <c r="M34" s="3" t="s">
        <v>191</v>
      </c>
      <c r="N34" s="7">
        <v>45021</v>
      </c>
      <c r="P34" s="6" t="s">
        <v>222</v>
      </c>
      <c r="Q34" s="6" t="s">
        <v>45</v>
      </c>
      <c r="R34" s="7">
        <v>45021</v>
      </c>
      <c r="S34" s="6" t="s">
        <v>62</v>
      </c>
      <c r="T34" s="7">
        <v>45606</v>
      </c>
      <c r="U34" s="6">
        <v>35</v>
      </c>
      <c r="V34" s="6">
        <v>75</v>
      </c>
      <c r="X34" s="3" t="s">
        <v>268</v>
      </c>
      <c r="Y34" s="3" t="s">
        <v>62</v>
      </c>
      <c r="Z34" s="4">
        <v>45235</v>
      </c>
      <c r="AA34" s="4">
        <v>45250</v>
      </c>
      <c r="AB34" s="5">
        <f>SUM('Utility System'!$V34-'Utility System'!$U34)</f>
        <v>40</v>
      </c>
      <c r="AC34" s="5">
        <f t="shared" si="1"/>
        <v>560</v>
      </c>
      <c r="AD34" s="5">
        <f t="shared" si="0"/>
        <v>250</v>
      </c>
      <c r="AE34" s="5">
        <f t="shared" si="2"/>
        <v>28</v>
      </c>
      <c r="AF34" s="5">
        <f>SUM(Table12[[#This Row],[EnergyCharges]:[TaxAmount]])</f>
        <v>838</v>
      </c>
      <c r="AG34" s="3" t="s">
        <v>83</v>
      </c>
      <c r="AI34" s="3" t="s">
        <v>313</v>
      </c>
      <c r="AJ34" s="3" t="s">
        <v>268</v>
      </c>
      <c r="AK34" s="4">
        <v>45250</v>
      </c>
      <c r="AL34" s="5">
        <f>SUM(Table12[[#This Row],[EnergyCharges]:[TaxAmount]])</f>
        <v>838</v>
      </c>
      <c r="AM34" s="3" t="s">
        <v>90</v>
      </c>
    </row>
    <row r="35" spans="2:39" s="11" customFormat="1" x14ac:dyDescent="0.2">
      <c r="P35" s="6" t="s">
        <v>223</v>
      </c>
      <c r="Q35" s="6" t="s">
        <v>95</v>
      </c>
      <c r="R35" s="7">
        <v>45026</v>
      </c>
      <c r="S35" s="6" t="s">
        <v>63</v>
      </c>
      <c r="T35" s="7">
        <v>45627</v>
      </c>
      <c r="U35" s="6">
        <v>25</v>
      </c>
      <c r="V35" s="6">
        <v>70</v>
      </c>
      <c r="X35" s="3" t="s">
        <v>269</v>
      </c>
      <c r="Y35" s="3" t="s">
        <v>63</v>
      </c>
      <c r="Z35" s="4">
        <v>45235</v>
      </c>
      <c r="AA35" s="4">
        <v>45250</v>
      </c>
      <c r="AB35" s="5">
        <f>SUM('Utility System'!$V35-'Utility System'!$U35)</f>
        <v>45</v>
      </c>
      <c r="AC35" s="5">
        <f t="shared" si="1"/>
        <v>810</v>
      </c>
      <c r="AD35" s="5">
        <f t="shared" si="0"/>
        <v>235</v>
      </c>
      <c r="AE35" s="5">
        <f t="shared" si="2"/>
        <v>64.8</v>
      </c>
      <c r="AF35" s="5">
        <f>SUM(Table12[[#This Row],[EnergyCharges]:[TaxAmount]])</f>
        <v>1109.8</v>
      </c>
      <c r="AG35" s="3" t="s">
        <v>84</v>
      </c>
      <c r="AI35" s="3" t="s">
        <v>314</v>
      </c>
      <c r="AJ35" s="3" t="s">
        <v>269</v>
      </c>
      <c r="AK35" s="4">
        <v>45250</v>
      </c>
      <c r="AL35" s="5">
        <f>SUM(Table12[[#This Row],[EnergyCharges]:[TaxAmount]])</f>
        <v>1109.8</v>
      </c>
      <c r="AM35" s="3" t="s">
        <v>89</v>
      </c>
    </row>
    <row r="36" spans="2:39" s="11" customFormat="1" x14ac:dyDescent="0.2">
      <c r="M36" s="15"/>
      <c r="P36" s="6" t="s">
        <v>224</v>
      </c>
      <c r="Q36" s="6" t="s">
        <v>42</v>
      </c>
      <c r="R36" s="7">
        <v>45028</v>
      </c>
      <c r="S36" s="6" t="s">
        <v>63</v>
      </c>
      <c r="T36" s="7">
        <v>45629</v>
      </c>
      <c r="U36" s="6">
        <v>50</v>
      </c>
      <c r="V36" s="6">
        <v>100</v>
      </c>
      <c r="X36" s="3" t="s">
        <v>270</v>
      </c>
      <c r="Y36" s="3" t="s">
        <v>63</v>
      </c>
      <c r="Z36" s="4">
        <v>45235</v>
      </c>
      <c r="AA36" s="4">
        <v>45250</v>
      </c>
      <c r="AB36" s="5">
        <f>SUM('Utility System'!$V36-'Utility System'!$U36)</f>
        <v>50</v>
      </c>
      <c r="AC36" s="5">
        <f t="shared" si="1"/>
        <v>2100</v>
      </c>
      <c r="AD36" s="5">
        <f t="shared" si="0"/>
        <v>320</v>
      </c>
      <c r="AE36" s="5">
        <f t="shared" si="2"/>
        <v>210</v>
      </c>
      <c r="AF36" s="5">
        <f>SUM(Table12[[#This Row],[EnergyCharges]:[TaxAmount]])</f>
        <v>2630</v>
      </c>
      <c r="AG36" s="3" t="s">
        <v>84</v>
      </c>
      <c r="AI36" s="3" t="s">
        <v>315</v>
      </c>
      <c r="AJ36" s="3" t="s">
        <v>270</v>
      </c>
      <c r="AK36" s="4">
        <v>45250</v>
      </c>
      <c r="AL36" s="5">
        <f>SUM(Table12[[#This Row],[EnergyCharges]:[TaxAmount]])</f>
        <v>2630</v>
      </c>
      <c r="AM36" s="3" t="s">
        <v>91</v>
      </c>
    </row>
    <row r="37" spans="2:39" s="11" customFormat="1" x14ac:dyDescent="0.2">
      <c r="P37" s="6" t="s">
        <v>225</v>
      </c>
      <c r="Q37" s="6" t="s">
        <v>42</v>
      </c>
      <c r="R37" s="7">
        <v>45031</v>
      </c>
      <c r="S37" s="6" t="s">
        <v>64</v>
      </c>
      <c r="T37" s="7">
        <v>45658</v>
      </c>
      <c r="U37" s="6">
        <v>110</v>
      </c>
      <c r="V37" s="6">
        <v>160</v>
      </c>
      <c r="X37" s="3" t="s">
        <v>271</v>
      </c>
      <c r="Y37" s="3" t="s">
        <v>64</v>
      </c>
      <c r="Z37" s="4">
        <v>45235</v>
      </c>
      <c r="AA37" s="4">
        <v>45250</v>
      </c>
      <c r="AB37" s="5">
        <f>SUM('Utility System'!$V37-'Utility System'!$U37)</f>
        <v>50</v>
      </c>
      <c r="AC37" s="5">
        <f t="shared" si="1"/>
        <v>2100</v>
      </c>
      <c r="AD37" s="5">
        <f t="shared" si="0"/>
        <v>320</v>
      </c>
      <c r="AE37" s="5">
        <f t="shared" si="2"/>
        <v>210</v>
      </c>
      <c r="AF37" s="5">
        <f>SUM(Table12[[#This Row],[EnergyCharges]:[TaxAmount]])</f>
        <v>2630</v>
      </c>
      <c r="AG37" s="3" t="s">
        <v>83</v>
      </c>
      <c r="AI37" s="3" t="s">
        <v>316</v>
      </c>
      <c r="AJ37" s="3" t="s">
        <v>271</v>
      </c>
      <c r="AK37" s="4">
        <v>45250</v>
      </c>
      <c r="AL37" s="5">
        <f>SUM(Table12[[#This Row],[EnergyCharges]:[TaxAmount]])</f>
        <v>2630</v>
      </c>
      <c r="AM37" s="3" t="s">
        <v>89</v>
      </c>
    </row>
    <row r="38" spans="2:39" s="11" customFormat="1" x14ac:dyDescent="0.2">
      <c r="P38" s="6" t="s">
        <v>226</v>
      </c>
      <c r="Q38" s="6" t="s">
        <v>45</v>
      </c>
      <c r="R38" s="7">
        <v>45036</v>
      </c>
      <c r="S38" s="6" t="s">
        <v>64</v>
      </c>
      <c r="T38" s="7">
        <v>45662</v>
      </c>
      <c r="U38" s="6">
        <v>60</v>
      </c>
      <c r="V38" s="6">
        <v>100</v>
      </c>
      <c r="X38" s="3" t="s">
        <v>272</v>
      </c>
      <c r="Y38" s="3" t="s">
        <v>64</v>
      </c>
      <c r="Z38" s="4">
        <v>45235</v>
      </c>
      <c r="AA38" s="4">
        <v>45250</v>
      </c>
      <c r="AB38" s="5">
        <f>SUM('Utility System'!$V38-'Utility System'!$U38)</f>
        <v>40</v>
      </c>
      <c r="AC38" s="5">
        <f t="shared" si="1"/>
        <v>560</v>
      </c>
      <c r="AD38" s="5">
        <f t="shared" si="0"/>
        <v>250</v>
      </c>
      <c r="AE38" s="5">
        <f t="shared" si="2"/>
        <v>28</v>
      </c>
      <c r="AF38" s="5">
        <f>SUM(Table12[[#This Row],[EnergyCharges]:[TaxAmount]])</f>
        <v>838</v>
      </c>
      <c r="AG38" s="3" t="s">
        <v>84</v>
      </c>
      <c r="AI38" s="3" t="s">
        <v>317</v>
      </c>
      <c r="AJ38" s="3" t="s">
        <v>272</v>
      </c>
      <c r="AK38" s="4">
        <v>45250</v>
      </c>
      <c r="AL38" s="5">
        <f>SUM(Table12[[#This Row],[EnergyCharges]:[TaxAmount]])</f>
        <v>838</v>
      </c>
      <c r="AM38" s="3" t="s">
        <v>90</v>
      </c>
    </row>
    <row r="39" spans="2:39" s="11" customFormat="1" x14ac:dyDescent="0.2">
      <c r="N39"/>
      <c r="P39" s="6" t="s">
        <v>227</v>
      </c>
      <c r="Q39" s="6" t="s">
        <v>95</v>
      </c>
      <c r="R39" s="7">
        <v>45041</v>
      </c>
      <c r="S39" s="6" t="s">
        <v>64</v>
      </c>
      <c r="T39" s="7">
        <v>45667</v>
      </c>
      <c r="U39" s="6">
        <v>30</v>
      </c>
      <c r="V39" s="6">
        <v>70</v>
      </c>
      <c r="X39" s="3" t="s">
        <v>273</v>
      </c>
      <c r="Y39" s="3" t="s">
        <v>64</v>
      </c>
      <c r="Z39" s="4">
        <v>45235</v>
      </c>
      <c r="AA39" s="4">
        <v>45250</v>
      </c>
      <c r="AB39" s="5">
        <f>SUM('Utility System'!$V39-'Utility System'!$U39)</f>
        <v>40</v>
      </c>
      <c r="AC39" s="5">
        <f t="shared" si="1"/>
        <v>720</v>
      </c>
      <c r="AD39" s="5">
        <f t="shared" si="0"/>
        <v>235</v>
      </c>
      <c r="AE39" s="5">
        <f t="shared" si="2"/>
        <v>57.6</v>
      </c>
      <c r="AF39" s="5">
        <f>SUM(Table12[[#This Row],[EnergyCharges]:[TaxAmount]])</f>
        <v>1012.6</v>
      </c>
      <c r="AG39" s="3" t="s">
        <v>84</v>
      </c>
      <c r="AI39" s="3" t="s">
        <v>318</v>
      </c>
      <c r="AJ39" s="3" t="s">
        <v>273</v>
      </c>
      <c r="AK39" s="4">
        <v>45250</v>
      </c>
      <c r="AL39" s="5">
        <f>SUM(Table12[[#This Row],[EnergyCharges]:[TaxAmount]])</f>
        <v>1012.6</v>
      </c>
      <c r="AM39" s="3" t="s">
        <v>89</v>
      </c>
    </row>
    <row r="40" spans="2:39" s="11" customFormat="1" x14ac:dyDescent="0.2">
      <c r="N40"/>
      <c r="P40" s="6" t="s">
        <v>228</v>
      </c>
      <c r="Q40" s="6" t="s">
        <v>45</v>
      </c>
      <c r="R40" s="7">
        <v>45036</v>
      </c>
      <c r="S40" s="6" t="s">
        <v>65</v>
      </c>
      <c r="T40" s="7">
        <v>45672</v>
      </c>
      <c r="U40" s="6">
        <v>40</v>
      </c>
      <c r="V40" s="6">
        <v>85</v>
      </c>
      <c r="X40" s="3" t="s">
        <v>274</v>
      </c>
      <c r="Y40" s="3" t="s">
        <v>65</v>
      </c>
      <c r="Z40" s="4">
        <v>45235</v>
      </c>
      <c r="AA40" s="4">
        <v>45250</v>
      </c>
      <c r="AB40" s="5">
        <f>SUM('Utility System'!$V40-'Utility System'!$U40)</f>
        <v>45</v>
      </c>
      <c r="AC40" s="5">
        <f t="shared" si="1"/>
        <v>630</v>
      </c>
      <c r="AD40" s="5">
        <f t="shared" si="0"/>
        <v>250</v>
      </c>
      <c r="AE40" s="5">
        <f t="shared" si="2"/>
        <v>31.5</v>
      </c>
      <c r="AF40" s="5">
        <f>SUM(Table12[[#This Row],[EnergyCharges]:[TaxAmount]])</f>
        <v>911.5</v>
      </c>
      <c r="AG40" s="3" t="s">
        <v>84</v>
      </c>
      <c r="AI40" s="3" t="s">
        <v>319</v>
      </c>
      <c r="AJ40" s="3" t="s">
        <v>274</v>
      </c>
      <c r="AK40" s="4">
        <v>45250</v>
      </c>
      <c r="AL40" s="5">
        <f>SUM(Table12[[#This Row],[EnergyCharges]:[TaxAmount]])</f>
        <v>911.5</v>
      </c>
      <c r="AM40" s="3" t="s">
        <v>91</v>
      </c>
    </row>
    <row r="41" spans="2:39" s="11" customFormat="1" x14ac:dyDescent="0.2">
      <c r="N41"/>
      <c r="P41" s="6" t="s">
        <v>229</v>
      </c>
      <c r="Q41" s="6" t="s">
        <v>95</v>
      </c>
      <c r="R41" s="7">
        <v>45041</v>
      </c>
      <c r="S41" s="6" t="s">
        <v>66</v>
      </c>
      <c r="T41" s="7">
        <v>45677</v>
      </c>
      <c r="U41" s="6">
        <v>30</v>
      </c>
      <c r="V41" s="6">
        <v>70</v>
      </c>
      <c r="X41" s="3" t="s">
        <v>275</v>
      </c>
      <c r="Y41" s="3" t="s">
        <v>66</v>
      </c>
      <c r="Z41" s="4">
        <v>45235</v>
      </c>
      <c r="AA41" s="4">
        <v>45250</v>
      </c>
      <c r="AB41" s="5">
        <f>SUM('Utility System'!$V41-'Utility System'!$U41)</f>
        <v>40</v>
      </c>
      <c r="AC41" s="5">
        <f t="shared" si="1"/>
        <v>720</v>
      </c>
      <c r="AD41" s="5">
        <f t="shared" si="0"/>
        <v>235</v>
      </c>
      <c r="AE41" s="5">
        <f t="shared" si="2"/>
        <v>57.6</v>
      </c>
      <c r="AF41" s="5">
        <f>SUM(Table12[[#This Row],[EnergyCharges]:[TaxAmount]])</f>
        <v>1012.6</v>
      </c>
      <c r="AG41" s="3" t="s">
        <v>84</v>
      </c>
      <c r="AI41" s="3" t="s">
        <v>320</v>
      </c>
      <c r="AJ41" s="3" t="s">
        <v>275</v>
      </c>
      <c r="AK41" s="4">
        <v>45250</v>
      </c>
      <c r="AL41" s="5">
        <f>SUM(Table12[[#This Row],[EnergyCharges]:[TaxAmount]])</f>
        <v>1012.6</v>
      </c>
      <c r="AM41" s="3" t="s">
        <v>89</v>
      </c>
    </row>
    <row r="42" spans="2:39" s="11" customFormat="1" x14ac:dyDescent="0.2">
      <c r="N42"/>
      <c r="P42" s="6" t="s">
        <v>230</v>
      </c>
      <c r="Q42" s="6" t="s">
        <v>42</v>
      </c>
      <c r="R42" s="7">
        <v>45046</v>
      </c>
      <c r="S42" s="6" t="s">
        <v>67</v>
      </c>
      <c r="T42" s="7">
        <v>45689</v>
      </c>
      <c r="U42" s="6">
        <v>80</v>
      </c>
      <c r="V42" s="6">
        <v>130</v>
      </c>
      <c r="X42" s="3" t="s">
        <v>276</v>
      </c>
      <c r="Y42" s="3" t="s">
        <v>67</v>
      </c>
      <c r="Z42" s="4">
        <v>45235</v>
      </c>
      <c r="AA42" s="4">
        <v>45250</v>
      </c>
      <c r="AB42" s="5">
        <f>SUM('Utility System'!$V42-'Utility System'!$U42)</f>
        <v>50</v>
      </c>
      <c r="AC42" s="5">
        <f t="shared" si="1"/>
        <v>2100</v>
      </c>
      <c r="AD42" s="5">
        <f t="shared" si="0"/>
        <v>320</v>
      </c>
      <c r="AE42" s="5">
        <f t="shared" si="2"/>
        <v>210</v>
      </c>
      <c r="AF42" s="5">
        <f>SUM(Table12[[#This Row],[EnergyCharges]:[TaxAmount]])</f>
        <v>2630</v>
      </c>
      <c r="AG42" s="3" t="s">
        <v>83</v>
      </c>
      <c r="AI42" s="3" t="s">
        <v>321</v>
      </c>
      <c r="AJ42" s="3" t="s">
        <v>276</v>
      </c>
      <c r="AK42" s="4">
        <v>45250</v>
      </c>
      <c r="AL42" s="5">
        <f>SUM(Table12[[#This Row],[EnergyCharges]:[TaxAmount]])</f>
        <v>2630</v>
      </c>
      <c r="AM42" s="3" t="s">
        <v>90</v>
      </c>
    </row>
    <row r="43" spans="2:39" s="11" customFormat="1" x14ac:dyDescent="0.2">
      <c r="N43"/>
      <c r="P43" s="6" t="s">
        <v>231</v>
      </c>
      <c r="Q43" s="6" t="s">
        <v>45</v>
      </c>
      <c r="R43" s="7">
        <v>45051</v>
      </c>
      <c r="S43" s="6" t="s">
        <v>68</v>
      </c>
      <c r="T43" s="7">
        <v>45693</v>
      </c>
      <c r="U43" s="6">
        <v>60</v>
      </c>
      <c r="V43" s="6">
        <v>100</v>
      </c>
      <c r="X43" s="3" t="s">
        <v>277</v>
      </c>
      <c r="Y43" s="3" t="s">
        <v>68</v>
      </c>
      <c r="Z43" s="4">
        <v>45235</v>
      </c>
      <c r="AA43" s="4">
        <v>45250</v>
      </c>
      <c r="AB43" s="5">
        <f>SUM('Utility System'!$V43-'Utility System'!$U43)</f>
        <v>40</v>
      </c>
      <c r="AC43" s="5">
        <f t="shared" si="1"/>
        <v>560</v>
      </c>
      <c r="AD43" s="5">
        <f t="shared" si="0"/>
        <v>250</v>
      </c>
      <c r="AE43" s="5">
        <f t="shared" si="2"/>
        <v>28</v>
      </c>
      <c r="AF43" s="5">
        <f>SUM(Table12[[#This Row],[EnergyCharges]:[TaxAmount]])</f>
        <v>838</v>
      </c>
      <c r="AG43" s="3" t="s">
        <v>84</v>
      </c>
      <c r="AI43" s="3" t="s">
        <v>322</v>
      </c>
      <c r="AJ43" s="3" t="s">
        <v>277</v>
      </c>
      <c r="AK43" s="4">
        <v>45250</v>
      </c>
      <c r="AL43" s="5">
        <f>SUM(Table12[[#This Row],[EnergyCharges]:[TaxAmount]])</f>
        <v>838</v>
      </c>
      <c r="AM43" s="3" t="s">
        <v>89</v>
      </c>
    </row>
    <row r="44" spans="2:39" s="11" customFormat="1" x14ac:dyDescent="0.2">
      <c r="N44"/>
      <c r="P44" s="6" t="s">
        <v>232</v>
      </c>
      <c r="Q44" s="6" t="s">
        <v>95</v>
      </c>
      <c r="R44" s="7">
        <v>45053</v>
      </c>
      <c r="S44" s="6" t="s">
        <v>68</v>
      </c>
      <c r="T44" s="7">
        <v>45698</v>
      </c>
      <c r="U44" s="6">
        <v>20</v>
      </c>
      <c r="V44" s="6">
        <v>60</v>
      </c>
      <c r="X44" s="3" t="s">
        <v>278</v>
      </c>
      <c r="Y44" s="3" t="s">
        <v>68</v>
      </c>
      <c r="Z44" s="4">
        <v>45235</v>
      </c>
      <c r="AA44" s="4">
        <v>45250</v>
      </c>
      <c r="AB44" s="5">
        <f>SUM('Utility System'!$V44-'Utility System'!$U44)</f>
        <v>40</v>
      </c>
      <c r="AC44" s="5">
        <f t="shared" si="1"/>
        <v>720</v>
      </c>
      <c r="AD44" s="5">
        <f t="shared" si="0"/>
        <v>235</v>
      </c>
      <c r="AE44" s="5">
        <f t="shared" si="2"/>
        <v>57.6</v>
      </c>
      <c r="AF44" s="5">
        <f>SUM(Table12[[#This Row],[EnergyCharges]:[TaxAmount]])</f>
        <v>1012.6</v>
      </c>
      <c r="AG44" s="3" t="s">
        <v>84</v>
      </c>
      <c r="AI44" s="3" t="s">
        <v>323</v>
      </c>
      <c r="AJ44" s="3" t="s">
        <v>278</v>
      </c>
      <c r="AK44" s="4">
        <v>45250</v>
      </c>
      <c r="AL44" s="5">
        <f>SUM(Table12[[#This Row],[EnergyCharges]:[TaxAmount]])</f>
        <v>1012.6</v>
      </c>
      <c r="AM44" s="3" t="s">
        <v>91</v>
      </c>
    </row>
    <row r="45" spans="2:39" s="11" customFormat="1" x14ac:dyDescent="0.2">
      <c r="N45"/>
      <c r="P45" s="6" t="s">
        <v>233</v>
      </c>
      <c r="Q45" s="6" t="s">
        <v>95</v>
      </c>
      <c r="R45" s="7">
        <v>45056</v>
      </c>
      <c r="S45" s="6" t="s">
        <v>69</v>
      </c>
      <c r="T45" s="7">
        <v>45703</v>
      </c>
      <c r="U45" s="6">
        <v>50</v>
      </c>
      <c r="V45" s="6">
        <v>95</v>
      </c>
      <c r="X45" s="3" t="s">
        <v>279</v>
      </c>
      <c r="Y45" s="3" t="s">
        <v>69</v>
      </c>
      <c r="Z45" s="4">
        <v>45235</v>
      </c>
      <c r="AA45" s="4">
        <v>45250</v>
      </c>
      <c r="AB45" s="5">
        <f>SUM('Utility System'!$V45-'Utility System'!$U45)</f>
        <v>45</v>
      </c>
      <c r="AC45" s="5">
        <f t="shared" si="1"/>
        <v>810</v>
      </c>
      <c r="AD45" s="5">
        <f t="shared" si="0"/>
        <v>235</v>
      </c>
      <c r="AE45" s="5">
        <f t="shared" si="2"/>
        <v>64.8</v>
      </c>
      <c r="AF45" s="5">
        <f>SUM(Table12[[#This Row],[EnergyCharges]:[TaxAmount]])</f>
        <v>1109.8</v>
      </c>
      <c r="AG45" s="3" t="s">
        <v>83</v>
      </c>
      <c r="AI45" s="3" t="s">
        <v>324</v>
      </c>
      <c r="AJ45" s="3" t="s">
        <v>279</v>
      </c>
      <c r="AK45" s="4">
        <v>45250</v>
      </c>
      <c r="AL45" s="5">
        <f>SUM(Table12[[#This Row],[EnergyCharges]:[TaxAmount]])</f>
        <v>1109.8</v>
      </c>
      <c r="AM45" s="3" t="s">
        <v>89</v>
      </c>
    </row>
    <row r="46" spans="2:39" s="11" customFormat="1" x14ac:dyDescent="0.2">
      <c r="N46"/>
      <c r="P46" s="6" t="s">
        <v>234</v>
      </c>
      <c r="Q46" s="6" t="s">
        <v>42</v>
      </c>
      <c r="R46" s="7">
        <v>45061</v>
      </c>
      <c r="S46" s="6" t="s">
        <v>70</v>
      </c>
      <c r="T46" s="7">
        <v>45717</v>
      </c>
      <c r="U46" s="6">
        <v>90</v>
      </c>
      <c r="V46" s="6">
        <v>145</v>
      </c>
      <c r="X46" s="3" t="s">
        <v>280</v>
      </c>
      <c r="Y46" s="3" t="s">
        <v>70</v>
      </c>
      <c r="Z46" s="4">
        <v>45235</v>
      </c>
      <c r="AA46" s="4">
        <v>45250</v>
      </c>
      <c r="AB46" s="5">
        <f>SUM('Utility System'!$V46-'Utility System'!$U46)</f>
        <v>55</v>
      </c>
      <c r="AC46" s="5">
        <f t="shared" si="1"/>
        <v>2310</v>
      </c>
      <c r="AD46" s="5">
        <f t="shared" si="0"/>
        <v>320</v>
      </c>
      <c r="AE46" s="5">
        <f t="shared" si="2"/>
        <v>231</v>
      </c>
      <c r="AF46" s="5">
        <f>SUM(Table12[[#This Row],[EnergyCharges]:[TaxAmount]])</f>
        <v>2861</v>
      </c>
      <c r="AG46" s="3" t="s">
        <v>83</v>
      </c>
      <c r="AI46" s="3" t="s">
        <v>325</v>
      </c>
      <c r="AJ46" s="3" t="s">
        <v>280</v>
      </c>
      <c r="AK46" s="4">
        <v>45250</v>
      </c>
      <c r="AL46" s="5">
        <f>SUM(Table12[[#This Row],[EnergyCharges]:[TaxAmount]])</f>
        <v>2861</v>
      </c>
      <c r="AM46" s="3" t="s">
        <v>90</v>
      </c>
    </row>
    <row r="47" spans="2:39" s="11" customFormat="1" x14ac:dyDescent="0.2">
      <c r="N47"/>
      <c r="P47" s="6" t="s">
        <v>235</v>
      </c>
      <c r="Q47" s="6" t="s">
        <v>45</v>
      </c>
      <c r="R47" s="7">
        <v>45063</v>
      </c>
      <c r="S47" s="6" t="s">
        <v>70</v>
      </c>
      <c r="T47" s="7">
        <v>45721</v>
      </c>
      <c r="U47" s="6">
        <v>40</v>
      </c>
      <c r="V47" s="6">
        <v>85</v>
      </c>
      <c r="X47" s="3" t="s">
        <v>281</v>
      </c>
      <c r="Y47" s="3" t="s">
        <v>70</v>
      </c>
      <c r="Z47" s="4">
        <v>45235</v>
      </c>
      <c r="AA47" s="4">
        <v>45250</v>
      </c>
      <c r="AB47" s="5">
        <f>SUM('Utility System'!$V47-'Utility System'!$U47)</f>
        <v>45</v>
      </c>
      <c r="AC47" s="5">
        <f t="shared" si="1"/>
        <v>630</v>
      </c>
      <c r="AD47" s="5">
        <f t="shared" si="0"/>
        <v>250</v>
      </c>
      <c r="AE47" s="5">
        <f t="shared" si="2"/>
        <v>31.5</v>
      </c>
      <c r="AF47" s="5">
        <f>SUM(Table12[[#This Row],[EnergyCharges]:[TaxAmount]])</f>
        <v>911.5</v>
      </c>
      <c r="AG47" s="3" t="s">
        <v>84</v>
      </c>
      <c r="AI47" s="3" t="s">
        <v>326</v>
      </c>
      <c r="AJ47" s="3" t="s">
        <v>281</v>
      </c>
      <c r="AK47" s="4">
        <v>45250</v>
      </c>
      <c r="AL47" s="5">
        <f>SUM(Table12[[#This Row],[EnergyCharges]:[TaxAmount]])</f>
        <v>911.5</v>
      </c>
      <c r="AM47" s="3" t="s">
        <v>89</v>
      </c>
    </row>
    <row r="48" spans="2:39" s="11" customFormat="1" x14ac:dyDescent="0.2">
      <c r="N48"/>
      <c r="P48" s="6" t="s">
        <v>236</v>
      </c>
      <c r="Q48" s="6" t="s">
        <v>45</v>
      </c>
      <c r="R48" s="7">
        <v>45066</v>
      </c>
      <c r="S48" s="6" t="s">
        <v>71</v>
      </c>
      <c r="T48" s="7">
        <v>45726</v>
      </c>
      <c r="U48" s="6">
        <v>35</v>
      </c>
      <c r="V48" s="6">
        <v>75</v>
      </c>
      <c r="X48" s="3" t="s">
        <v>282</v>
      </c>
      <c r="Y48" s="3" t="s">
        <v>71</v>
      </c>
      <c r="Z48" s="4">
        <v>45235</v>
      </c>
      <c r="AA48" s="4">
        <v>45250</v>
      </c>
      <c r="AB48" s="5">
        <f>SUM('Utility System'!$V48-'Utility System'!$U48)</f>
        <v>40</v>
      </c>
      <c r="AC48" s="5">
        <f t="shared" si="1"/>
        <v>560</v>
      </c>
      <c r="AD48" s="5">
        <f t="shared" si="0"/>
        <v>250</v>
      </c>
      <c r="AE48" s="5">
        <f t="shared" si="2"/>
        <v>28</v>
      </c>
      <c r="AF48" s="5">
        <f>SUM(Table12[[#This Row],[EnergyCharges]:[TaxAmount]])</f>
        <v>838</v>
      </c>
      <c r="AG48" s="3" t="s">
        <v>84</v>
      </c>
      <c r="AI48" s="3" t="s">
        <v>327</v>
      </c>
      <c r="AJ48" s="3" t="s">
        <v>282</v>
      </c>
      <c r="AK48" s="4">
        <v>45250</v>
      </c>
      <c r="AL48" s="5">
        <f>SUM(Table12[[#This Row],[EnergyCharges]:[TaxAmount]])</f>
        <v>838</v>
      </c>
      <c r="AM48" s="3" t="s">
        <v>91</v>
      </c>
    </row>
    <row r="49" spans="14:39" s="11" customFormat="1" x14ac:dyDescent="0.2">
      <c r="N49"/>
      <c r="P49" s="6" t="s">
        <v>237</v>
      </c>
      <c r="Q49" s="6" t="s">
        <v>95</v>
      </c>
      <c r="R49" s="7">
        <v>45071</v>
      </c>
      <c r="S49" s="6" t="s">
        <v>72</v>
      </c>
      <c r="T49" s="7">
        <v>45731</v>
      </c>
      <c r="U49" s="6">
        <v>25</v>
      </c>
      <c r="V49" s="6">
        <v>60</v>
      </c>
      <c r="X49" s="3" t="s">
        <v>283</v>
      </c>
      <c r="Y49" s="3" t="s">
        <v>72</v>
      </c>
      <c r="Z49" s="4">
        <v>45235</v>
      </c>
      <c r="AA49" s="4">
        <v>45250</v>
      </c>
      <c r="AB49" s="5">
        <f>SUM('Utility System'!$V49-'Utility System'!$U49)</f>
        <v>35</v>
      </c>
      <c r="AC49" s="5">
        <f t="shared" si="1"/>
        <v>630</v>
      </c>
      <c r="AD49" s="5">
        <f t="shared" si="0"/>
        <v>235</v>
      </c>
      <c r="AE49" s="5">
        <f t="shared" si="2"/>
        <v>50.4</v>
      </c>
      <c r="AF49" s="5">
        <f>SUM(Table12[[#This Row],[EnergyCharges]:[TaxAmount]])</f>
        <v>915.4</v>
      </c>
      <c r="AG49" s="3" t="s">
        <v>83</v>
      </c>
      <c r="AI49" s="3" t="s">
        <v>328</v>
      </c>
      <c r="AJ49" s="3" t="s">
        <v>283</v>
      </c>
      <c r="AK49" s="4">
        <v>45250</v>
      </c>
      <c r="AL49" s="5">
        <f>SUM(Table12[[#This Row],[EnergyCharges]:[TaxAmount]])</f>
        <v>915.4</v>
      </c>
      <c r="AM49" s="3" t="s">
        <v>89</v>
      </c>
    </row>
    <row r="50" spans="14:39" s="11" customFormat="1" x14ac:dyDescent="0.2">
      <c r="N50"/>
      <c r="AK50" s="12"/>
      <c r="AL50" s="12"/>
    </row>
    <row r="51" spans="14:39" s="11" customFormat="1" x14ac:dyDescent="0.2">
      <c r="N51"/>
      <c r="Q51" s="15"/>
      <c r="Y51" s="15"/>
      <c r="AK51" s="12"/>
      <c r="AL51" s="12"/>
    </row>
    <row r="52" spans="14:39" s="11" customFormat="1" x14ac:dyDescent="0.2">
      <c r="N52"/>
      <c r="AK52" s="12"/>
      <c r="AL52" s="12"/>
    </row>
    <row r="53" spans="14:39" s="11" customFormat="1" x14ac:dyDescent="0.2">
      <c r="N53"/>
      <c r="AK53" s="12"/>
      <c r="AL53" s="12"/>
    </row>
  </sheetData>
  <mergeCells count="6">
    <mergeCell ref="X2:AG3"/>
    <mergeCell ref="AO2:AS3"/>
    <mergeCell ref="AI2:AM3"/>
    <mergeCell ref="B2:J3"/>
    <mergeCell ref="L2:N3"/>
    <mergeCell ref="P2:V3"/>
  </mergeCells>
  <printOptions headings="1"/>
  <pageMargins left="0.25" right="0.25" top="0.75" bottom="0.75" header="0.3" footer="0.3"/>
  <pageSetup paperSize="9" scale="20" fitToWidth="0" fitToHeight="0" orientation="portrait" blackAndWhite="1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Utility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Abubakar Asif</cp:lastModifiedBy>
  <cp:lastPrinted>2025-12-07T12:30:19Z</cp:lastPrinted>
  <dcterms:modified xsi:type="dcterms:W3CDTF">2026-01-03T11:00:36Z</dcterms:modified>
</cp:coreProperties>
</file>